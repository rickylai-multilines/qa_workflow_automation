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-105" yWindow="-105" windowWidth="23250" windowHeight="12450" tabRatio="744"/>
  </bookViews>
  <sheets>
    <sheet name="Order List" sheetId="5" r:id="rId1"/>
  </sheets>
  <definedNames>
    <definedName name="_xlnm._FilterDatabase" localSheetId="0" hidden="1">'Order List'!$A$2:$BH$7</definedName>
    <definedName name="_xlnm.Print_Area" localSheetId="0">'Order List'!$B$1:$BH$30</definedName>
    <definedName name="_xlnm.Print_Titles" localSheetId="0">'Order List'!$1:$2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3" i="5" l="1"/>
  <c r="BC19" i="5"/>
  <c r="BC15" i="5"/>
  <c r="BC11" i="5"/>
  <c r="BG23" i="5"/>
  <c r="BF23" i="5"/>
  <c r="BB23" i="5"/>
  <c r="AZ23" i="5"/>
  <c r="BA23" i="5" s="1"/>
  <c r="AY23" i="5"/>
  <c r="AW23" i="5"/>
  <c r="AX23" i="5" s="1"/>
  <c r="AU23" i="5"/>
  <c r="AV23" i="5" s="1"/>
  <c r="AT23" i="5"/>
  <c r="AS23" i="5"/>
  <c r="AQ23" i="5"/>
  <c r="AR23" i="5" s="1"/>
  <c r="AO23" i="5"/>
  <c r="AP23" i="5" s="1"/>
  <c r="AM23" i="5"/>
  <c r="AN23" i="5" s="1"/>
  <c r="AK23" i="5"/>
  <c r="AL23" i="5" s="1"/>
  <c r="AJ23" i="5"/>
  <c r="AH23" i="5"/>
  <c r="AI23" i="5" s="1"/>
  <c r="AF23" i="5"/>
  <c r="AG23" i="5" s="1"/>
  <c r="AE23" i="5"/>
  <c r="AC23" i="5"/>
  <c r="AD23" i="5" s="1"/>
  <c r="AA23" i="5"/>
  <c r="AB23" i="5" s="1"/>
  <c r="AO19" i="5"/>
  <c r="AP19" i="5" s="1"/>
  <c r="AM19" i="5"/>
  <c r="AN19" i="5" s="1"/>
  <c r="AK19" i="5"/>
  <c r="AL19" i="5" s="1"/>
  <c r="AJ19" i="5"/>
  <c r="AH19" i="5"/>
  <c r="AI19" i="5" s="1"/>
  <c r="AF19" i="5"/>
  <c r="AG19" i="5" s="1"/>
  <c r="AE19" i="5"/>
  <c r="AC19" i="5"/>
  <c r="AD19" i="5" s="1"/>
  <c r="AA19" i="5"/>
  <c r="AB19" i="5" s="1"/>
  <c r="BG19" i="5"/>
  <c r="BF19" i="5"/>
  <c r="BB19" i="5"/>
  <c r="AZ19" i="5"/>
  <c r="BA19" i="5" s="1"/>
  <c r="AY19" i="5"/>
  <c r="AW19" i="5"/>
  <c r="AX19" i="5" s="1"/>
  <c r="AU19" i="5"/>
  <c r="AV19" i="5" s="1"/>
  <c r="AT19" i="5"/>
  <c r="AS19" i="5"/>
  <c r="AQ19" i="5"/>
  <c r="AR19" i="5" s="1"/>
  <c r="AQ15" i="5"/>
  <c r="AR15" i="5" s="1"/>
  <c r="AO15" i="5"/>
  <c r="AP15" i="5" s="1"/>
  <c r="AM15" i="5"/>
  <c r="AN15" i="5" s="1"/>
  <c r="AK15" i="5"/>
  <c r="AL15" i="5" s="1"/>
  <c r="AJ15" i="5"/>
  <c r="AH15" i="5"/>
  <c r="AI15" i="5" s="1"/>
  <c r="AF15" i="5"/>
  <c r="AG15" i="5" s="1"/>
  <c r="AE15" i="5"/>
  <c r="AC15" i="5"/>
  <c r="AD15" i="5" s="1"/>
  <c r="AA15" i="5"/>
  <c r="AB15" i="5" s="1"/>
  <c r="BG15" i="5"/>
  <c r="BF15" i="5"/>
  <c r="BB15" i="5"/>
  <c r="AZ15" i="5"/>
  <c r="BA15" i="5" s="1"/>
  <c r="AY15" i="5"/>
  <c r="AW15" i="5"/>
  <c r="AX15" i="5" s="1"/>
  <c r="AU15" i="5"/>
  <c r="AV15" i="5" s="1"/>
  <c r="AT15" i="5"/>
  <c r="AS15" i="5"/>
  <c r="BG11" i="5"/>
  <c r="BF11" i="5"/>
  <c r="BB11" i="5"/>
  <c r="AZ11" i="5"/>
  <c r="BA11" i="5" s="1"/>
  <c r="AY11" i="5"/>
  <c r="AW11" i="5"/>
  <c r="AX11" i="5" s="1"/>
  <c r="AU11" i="5"/>
  <c r="AV11" i="5" s="1"/>
  <c r="AT11" i="5"/>
  <c r="AS11" i="5"/>
  <c r="AQ11" i="5"/>
  <c r="AR11" i="5" s="1"/>
  <c r="AO11" i="5"/>
  <c r="AP11" i="5" s="1"/>
  <c r="AM11" i="5"/>
  <c r="AN11" i="5" s="1"/>
  <c r="AK11" i="5"/>
  <c r="AL11" i="5" s="1"/>
  <c r="AJ11" i="5"/>
  <c r="AH11" i="5"/>
  <c r="AI11" i="5" s="1"/>
  <c r="AF11" i="5"/>
  <c r="AG11" i="5" s="1"/>
  <c r="AE11" i="5"/>
  <c r="AC11" i="5"/>
  <c r="AD11" i="5" s="1"/>
  <c r="AA11" i="5"/>
  <c r="AB11" i="5" s="1"/>
  <c r="BF3" i="5" l="1"/>
  <c r="AQ3" i="5"/>
  <c r="AX7" i="5"/>
  <c r="AX8" i="5"/>
  <c r="AX6" i="5"/>
  <c r="AV7" i="5"/>
  <c r="AV8" i="5"/>
  <c r="AV6" i="5"/>
  <c r="AP7" i="5"/>
  <c r="AP8" i="5"/>
  <c r="AP6" i="5"/>
  <c r="AN7" i="5"/>
  <c r="AN8" i="5"/>
  <c r="AN6" i="5"/>
  <c r="AI7" i="5"/>
  <c r="AI8" i="5"/>
  <c r="AI6" i="5"/>
  <c r="AG7" i="5"/>
  <c r="AG8" i="5"/>
  <c r="AG6" i="5"/>
  <c r="AD7" i="5"/>
  <c r="AD8" i="5"/>
  <c r="AD6" i="5"/>
  <c r="AB8" i="5"/>
  <c r="AB7" i="5"/>
  <c r="AB6" i="5"/>
  <c r="BG4" i="5" l="1"/>
  <c r="BF4" i="5"/>
  <c r="BC4" i="5"/>
  <c r="AT4" i="5"/>
  <c r="AZ4" i="5"/>
  <c r="BA4" i="5" s="1"/>
  <c r="AW4" i="5"/>
  <c r="AX4" i="5" s="1"/>
  <c r="AY4" i="5" s="1"/>
  <c r="AU4" i="5"/>
  <c r="AV4" i="5" s="1"/>
  <c r="AC4" i="5"/>
  <c r="AD4" i="5" s="1"/>
  <c r="BG3" i="5"/>
  <c r="BC3" i="5"/>
  <c r="AT3" i="5"/>
  <c r="AZ3" i="5"/>
  <c r="BA3" i="5" s="1"/>
  <c r="AW3" i="5"/>
  <c r="AX3" i="5" s="1"/>
  <c r="AY3" i="5" s="1"/>
  <c r="AU3" i="5"/>
  <c r="AV3" i="5" s="1"/>
  <c r="AS3" i="5"/>
  <c r="AR3" i="5"/>
  <c r="AO3" i="5"/>
  <c r="AP3" i="5" s="1"/>
  <c r="AM3" i="5"/>
  <c r="AN3" i="5" s="1"/>
  <c r="AL3" i="5"/>
  <c r="AK3" i="5"/>
  <c r="AJ3" i="5"/>
  <c r="AH3" i="5"/>
  <c r="AI3" i="5" s="1"/>
  <c r="AF3" i="5"/>
  <c r="AG3" i="5" s="1"/>
  <c r="AE3" i="5"/>
  <c r="AC3" i="5"/>
  <c r="AD3" i="5" s="1"/>
  <c r="AA3" i="5"/>
  <c r="AB3" i="5" s="1"/>
  <c r="Y4" i="5" l="1"/>
  <c r="Z4" i="5" s="1"/>
  <c r="N4" i="5"/>
  <c r="L4" i="5"/>
  <c r="N6" i="5" l="1"/>
  <c r="L6" i="5"/>
  <c r="L3" i="5"/>
  <c r="N3" i="5"/>
  <c r="Y3" i="5" l="1"/>
  <c r="Z3" i="5" s="1"/>
  <c r="Y6" i="5"/>
  <c r="Z6" i="5" s="1"/>
</calcChain>
</file>

<file path=xl/comments1.xml><?xml version="1.0" encoding="utf-8"?>
<comments xmlns="http://schemas.openxmlformats.org/spreadsheetml/2006/main">
  <authors>
    <author>Ricky Lai</author>
    <author>Iris Cheung</author>
  </authors>
  <commentList>
    <comment ref="AD2" authorId="0" shapeId="0">
      <text>
        <r>
          <rPr>
            <b/>
            <sz val="9"/>
            <color indexed="81"/>
            <rFont val="Tahoma"/>
            <family val="2"/>
          </rPr>
          <t>Client Approve date =the date to client +4 days</t>
        </r>
      </text>
    </comment>
    <comment ref="AB3" authorId="1" shapeId="0">
      <text>
        <r>
          <rPr>
            <b/>
            <sz val="9"/>
            <color indexed="81"/>
            <rFont val="Tahoma"/>
            <family val="2"/>
          </rPr>
          <t xml:space="preserve">QA approval date = the date to QA + 7 working days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" authorId="0" shapeId="0">
      <text>
        <r>
          <rPr>
            <b/>
            <sz val="9"/>
            <color indexed="81"/>
            <rFont val="Tahoma"/>
            <family val="2"/>
          </rPr>
          <t xml:space="preserve">QA approval date = the date to QA + 7 working days
</t>
        </r>
      </text>
    </comment>
    <comment ref="AI3" authorId="1" shapeId="0">
      <text>
        <r>
          <rPr>
            <b/>
            <sz val="9"/>
            <color indexed="81"/>
            <rFont val="Tahoma"/>
            <family val="2"/>
          </rPr>
          <t>Client Approve date =the date to client +4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" authorId="0" shapeId="0">
      <text>
        <r>
          <rPr>
            <b/>
            <sz val="9"/>
            <color indexed="81"/>
            <rFont val="Tahoma"/>
            <family val="2"/>
          </rPr>
          <t>The Date from designer = the date to designer + 10 days</t>
        </r>
      </text>
    </comment>
    <comment ref="AP3" authorId="1" shapeId="0">
      <text>
        <r>
          <rPr>
            <b/>
            <sz val="9"/>
            <color indexed="81"/>
            <rFont val="Tahoma"/>
            <family val="2"/>
          </rPr>
          <t xml:space="preserve">Client Approve date =the date to client +4 days
</t>
        </r>
      </text>
    </comment>
    <comment ref="AR3" authorId="0" shapeId="0">
      <text>
        <r>
          <rPr>
            <b/>
            <sz val="9"/>
            <color indexed="81"/>
            <rFont val="Tahoma"/>
            <family val="2"/>
          </rPr>
          <t>Client Approve date =the date to client +4 days</t>
        </r>
      </text>
    </comment>
    <comment ref="AV3" authorId="0" shapeId="0">
      <text>
        <r>
          <rPr>
            <b/>
            <sz val="9"/>
            <color indexed="81"/>
            <rFont val="Tahoma"/>
            <family val="2"/>
          </rPr>
          <t>Client Approve date =the date to client +4 days</t>
        </r>
      </text>
    </comment>
    <comment ref="AX3" authorId="0" shapeId="0">
      <text>
        <r>
          <rPr>
            <b/>
            <sz val="9"/>
            <color indexed="81"/>
            <rFont val="Tahoma"/>
            <family val="2"/>
          </rPr>
          <t>QA approval date = the date to QA + 7 working days</t>
        </r>
      </text>
    </comment>
    <comment ref="BA3" authorId="0" shapeId="0">
      <text>
        <r>
          <rPr>
            <b/>
            <sz val="9"/>
            <color indexed="81"/>
            <rFont val="Tahoma"/>
            <family val="2"/>
          </rPr>
          <t>Client Approve date =the date to client +2 days</t>
        </r>
      </text>
    </comment>
  </commentList>
</comments>
</file>

<file path=xl/sharedStrings.xml><?xml version="1.0" encoding="utf-8"?>
<sst xmlns="http://schemas.openxmlformats.org/spreadsheetml/2006/main" count="243" uniqueCount="125">
  <si>
    <t>ETD</t>
  </si>
  <si>
    <t>ETA</t>
  </si>
  <si>
    <t>Day of delay</t>
  </si>
  <si>
    <t>On-time / Delay</t>
  </si>
  <si>
    <t>INSPECTION</t>
  </si>
  <si>
    <t>Merchandiser</t>
  </si>
  <si>
    <r>
      <rPr>
        <b/>
        <sz val="14"/>
        <rFont val="Calibri"/>
        <family val="2"/>
        <scheme val="minor"/>
      </rPr>
      <t>RED SEALS SAMPLE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 xml:space="preserve"> (*if repeat item,  put "R")</t>
    </r>
  </si>
  <si>
    <r>
      <rPr>
        <b/>
        <sz val="14"/>
        <rFont val="Calibri"/>
        <family val="2"/>
        <scheme val="minor"/>
      </rPr>
      <t>GOLD SEALS SAMPLE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 xml:space="preserve"> (*if repeat item , put "R")</t>
    </r>
  </si>
  <si>
    <t>Doc to Shipping Dept.</t>
  </si>
  <si>
    <t>Remarks</t>
  </si>
  <si>
    <t>Dept No.</t>
  </si>
  <si>
    <t>Product</t>
  </si>
  <si>
    <t>PO 
Unit Price</t>
  </si>
  <si>
    <t>PO Total (USD)</t>
  </si>
  <si>
    <t>Order Qty</t>
  </si>
  <si>
    <t>BM Item No.</t>
  </si>
  <si>
    <t>Order Receipt date</t>
  </si>
  <si>
    <t>PO Delivery Date</t>
  </si>
  <si>
    <t>The Date to QA</t>
  </si>
  <si>
    <t>Loading Image</t>
  </si>
  <si>
    <t>Inspection Date</t>
  </si>
  <si>
    <t>CARTON 
MARK</t>
  </si>
  <si>
    <t xml:space="preserve"> TEST REPORT
/DOI</t>
  </si>
  <si>
    <r>
      <rPr>
        <b/>
        <sz val="14"/>
        <rFont val="Calibri"/>
        <family val="2"/>
        <scheme val="minor"/>
      </rPr>
      <t xml:space="preserve">ARTWORK 
</t>
    </r>
    <r>
      <rPr>
        <sz val="11"/>
        <rFont val="Calibri"/>
        <family val="2"/>
        <scheme val="minor"/>
      </rPr>
      <t>(Packaging,IM,R/L)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>(*if repeat item, put "R")</t>
    </r>
  </si>
  <si>
    <t>BM Supplier Code</t>
  </si>
  <si>
    <t>MTL Supplier Code</t>
  </si>
  <si>
    <t>SC
Unit Price</t>
  </si>
  <si>
    <t>SC Total (USD)</t>
  </si>
  <si>
    <t>Result</t>
  </si>
  <si>
    <t>ORDER SHEET NAME</t>
  </si>
  <si>
    <t>Client Order No.</t>
  </si>
  <si>
    <t>Client Item No.</t>
  </si>
  <si>
    <t>MTL 
Order No.</t>
  </si>
  <si>
    <t>The Date to Client</t>
  </si>
  <si>
    <t>Client Approval Date</t>
  </si>
  <si>
    <t xml:space="preserve">Client : </t>
  </si>
  <si>
    <t>CHECK FORM (PIR)</t>
  </si>
  <si>
    <r>
      <t xml:space="preserve">FOB Port </t>
    </r>
    <r>
      <rPr>
        <sz val="11"/>
        <color rgb="FFFF0000"/>
        <rFont val="Calibri"/>
        <family val="2"/>
        <scheme val="minor"/>
      </rPr>
      <t>(NB, XM, SZ, GZ, etc.)</t>
    </r>
  </si>
  <si>
    <r>
      <t xml:space="preserve">Inspected by
</t>
    </r>
    <r>
      <rPr>
        <sz val="11"/>
        <color rgb="FFFF0000"/>
        <rFont val="Calibri"/>
        <family val="2"/>
        <scheme val="minor"/>
      </rPr>
      <t>(MTL / 3rd / Self)</t>
    </r>
  </si>
  <si>
    <t>The Date to Design Team</t>
  </si>
  <si>
    <t>The Date from Design Team</t>
  </si>
  <si>
    <t>SC Delivery Date (SC CRD)</t>
  </si>
  <si>
    <t xml:space="preserve"> QA Approval Date</t>
  </si>
  <si>
    <t>NEW ITEM</t>
  </si>
  <si>
    <t>REPEAT ITEM</t>
  </si>
  <si>
    <t>NA</t>
  </si>
  <si>
    <t>EXAMPLE (FOR NEW)</t>
  </si>
  <si>
    <t>EXAMPLE (FOR REPEAT)</t>
  </si>
  <si>
    <t>QA Approval Date</t>
  </si>
  <si>
    <t>Booking Date</t>
  </si>
  <si>
    <t>Print Mock Up Approval Date</t>
  </si>
  <si>
    <t>Signed Back to Fty Date</t>
  </si>
  <si>
    <t>Date of Red Seal Sample receive from FTY</t>
  </si>
  <si>
    <t>Sign Back to FTY Date</t>
  </si>
  <si>
    <t>Die-Cut to Client Date</t>
  </si>
  <si>
    <t>Draft from Client Date</t>
  </si>
  <si>
    <t>PRINT PROOF</t>
  </si>
  <si>
    <t>Send to Client Date</t>
  </si>
  <si>
    <t>Client Approve Date</t>
  </si>
  <si>
    <t>MOCK UP</t>
  </si>
  <si>
    <t>CHECK POINT :</t>
  </si>
  <si>
    <t>SPECIAL ITEM (IF HAVE)</t>
  </si>
  <si>
    <t>WIP TYPE</t>
  </si>
  <si>
    <t>REPEAT</t>
  </si>
  <si>
    <r>
      <t xml:space="preserve">WIP TYPE DEFINITION 
</t>
    </r>
    <r>
      <rPr>
        <b/>
        <sz val="12"/>
        <color rgb="FFFF0000"/>
        <rFont val="Calibri"/>
        <family val="2"/>
        <scheme val="minor"/>
      </rPr>
      <t>(lead time  = SC CRD - SC issue date)</t>
    </r>
  </si>
  <si>
    <t>SHIPMENT</t>
  </si>
  <si>
    <t>Inspection Booking Date</t>
  </si>
  <si>
    <t>EXAMPLE</t>
  </si>
  <si>
    <t xml:space="preserve">SC CRD = </t>
  </si>
  <si>
    <r>
      <t xml:space="preserve">SC CRD 
 </t>
    </r>
    <r>
      <rPr>
        <sz val="11"/>
        <color rgb="FFFF0000"/>
        <rFont val="Calibri"/>
        <family val="2"/>
        <scheme val="minor"/>
      </rPr>
      <t>-60</t>
    </r>
    <r>
      <rPr>
        <sz val="11"/>
        <rFont val="Calibri"/>
        <family val="2"/>
        <scheme val="minor"/>
      </rPr>
      <t xml:space="preserve"> days</t>
    </r>
  </si>
  <si>
    <r>
      <t xml:space="preserve">New items (lead time = </t>
    </r>
    <r>
      <rPr>
        <b/>
        <sz val="11"/>
        <color rgb="FFFF0000"/>
        <rFont val="Calibri"/>
        <family val="2"/>
        <scheme val="minor"/>
      </rPr>
      <t>60-69</t>
    </r>
    <r>
      <rPr>
        <b/>
        <sz val="11"/>
        <rFont val="Calibri"/>
        <family val="2"/>
        <scheme val="minor"/>
      </rPr>
      <t xml:space="preserve"> day)</t>
    </r>
  </si>
  <si>
    <r>
      <t xml:space="preserve">The date to QA 
</t>
    </r>
    <r>
      <rPr>
        <sz val="11"/>
        <color rgb="FFFF0000"/>
        <rFont val="Calibri"/>
        <family val="2"/>
        <scheme val="minor"/>
      </rPr>
      <t xml:space="preserve">+ 7 </t>
    </r>
    <r>
      <rPr>
        <sz val="11"/>
        <rFont val="Calibri"/>
        <family val="2"/>
        <scheme val="minor"/>
      </rPr>
      <t>days</t>
    </r>
  </si>
  <si>
    <r>
      <t xml:space="preserve">SC CRD 
 </t>
    </r>
    <r>
      <rPr>
        <sz val="11"/>
        <color rgb="FFFF0000"/>
        <rFont val="Calibri"/>
        <family val="2"/>
        <scheme val="minor"/>
      </rPr>
      <t>-55</t>
    </r>
    <r>
      <rPr>
        <sz val="11"/>
        <rFont val="Calibri"/>
        <family val="2"/>
        <scheme val="minor"/>
      </rPr>
      <t xml:space="preserve"> days</t>
    </r>
  </si>
  <si>
    <r>
      <t xml:space="preserve">The date to client </t>
    </r>
    <r>
      <rPr>
        <sz val="11"/>
        <color rgb="FFFF0000"/>
        <rFont val="Calibri"/>
        <family val="2"/>
        <scheme val="minor"/>
      </rPr>
      <t>+7</t>
    </r>
    <r>
      <rPr>
        <sz val="11"/>
        <rFont val="Calibri"/>
        <family val="2"/>
        <scheme val="minor"/>
      </rPr>
      <t xml:space="preserve"> days</t>
    </r>
  </si>
  <si>
    <r>
      <t xml:space="preserve">SC CRD 
 </t>
    </r>
    <r>
      <rPr>
        <sz val="11"/>
        <color rgb="FFFF0000"/>
        <rFont val="Calibri"/>
        <family val="2"/>
        <scheme val="minor"/>
      </rPr>
      <t>-59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</si>
  <si>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-58</t>
    </r>
    <r>
      <rPr>
        <sz val="11"/>
        <rFont val="Calibri"/>
        <family val="2"/>
        <scheme val="minor"/>
      </rPr>
      <t xml:space="preserve"> days</t>
    </r>
  </si>
  <si>
    <r>
      <t xml:space="preserve">The date to QA 
</t>
    </r>
    <r>
      <rPr>
        <sz val="11"/>
        <color rgb="FFFF0000"/>
        <rFont val="Calibri"/>
        <family val="2"/>
        <scheme val="minor"/>
      </rPr>
      <t xml:space="preserve">+7 </t>
    </r>
    <r>
      <rPr>
        <sz val="11"/>
        <rFont val="Calibri"/>
        <family val="2"/>
        <scheme val="minor"/>
      </rPr>
      <t>days</t>
    </r>
  </si>
  <si>
    <r>
      <t xml:space="preserve">SC CRD </t>
    </r>
    <r>
      <rPr>
        <sz val="11"/>
        <color rgb="FFFF0000"/>
        <rFont val="Calibri"/>
        <family val="2"/>
        <scheme val="minor"/>
      </rPr>
      <t>-50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</si>
  <si>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-55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</si>
  <si>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-47</t>
    </r>
    <r>
      <rPr>
        <sz val="11"/>
        <rFont val="Calibri"/>
        <family val="2"/>
        <scheme val="minor"/>
      </rPr>
      <t xml:space="preserve"> days</t>
    </r>
  </si>
  <si>
    <r>
      <t xml:space="preserve">The date to Design Team </t>
    </r>
    <r>
      <rPr>
        <sz val="11"/>
        <color rgb="FFFF0000"/>
        <rFont val="Calibri"/>
        <family val="2"/>
        <scheme val="minor"/>
      </rPr>
      <t>+10</t>
    </r>
    <r>
      <rPr>
        <sz val="11"/>
        <rFont val="Calibri"/>
        <family val="2"/>
        <scheme val="minor"/>
      </rPr>
      <t xml:space="preserve"> days</t>
    </r>
  </si>
  <si>
    <r>
      <t xml:space="preserve">The date to client </t>
    </r>
    <r>
      <rPr>
        <sz val="11"/>
        <color rgb="FFFF0000"/>
        <rFont val="Calibri"/>
        <family val="2"/>
        <scheme val="minor"/>
      </rPr>
      <t xml:space="preserve">+7 </t>
    </r>
    <r>
      <rPr>
        <sz val="11"/>
        <rFont val="Calibri"/>
        <family val="2"/>
        <scheme val="minor"/>
      </rPr>
      <t>days</t>
    </r>
  </si>
  <si>
    <r>
      <t xml:space="preserve">NEW </t>
    </r>
    <r>
      <rPr>
        <b/>
        <sz val="11"/>
        <color rgb="FFFF0000"/>
        <rFont val="Calibri"/>
        <family val="2"/>
        <scheme val="minor"/>
      </rPr>
      <t>60</t>
    </r>
    <r>
      <rPr>
        <b/>
        <sz val="11"/>
        <rFont val="Calibri"/>
        <family val="2"/>
        <scheme val="minor"/>
      </rPr>
      <t xml:space="preserve"> DAYS</t>
    </r>
  </si>
  <si>
    <r>
      <t xml:space="preserve">SC CRD  </t>
    </r>
    <r>
      <rPr>
        <sz val="11"/>
        <color rgb="FFFF0000"/>
        <rFont val="Calibri"/>
        <family val="2"/>
        <scheme val="minor"/>
      </rPr>
      <t>-37</t>
    </r>
    <r>
      <rPr>
        <sz val="11"/>
        <rFont val="Calibri"/>
        <family val="2"/>
        <scheme val="minor"/>
      </rPr>
      <t xml:space="preserve"> days</t>
    </r>
  </si>
  <si>
    <r>
      <t xml:space="preserve">The date to Client </t>
    </r>
    <r>
      <rPr>
        <sz val="11"/>
        <color rgb="FFFF0000"/>
        <rFont val="Calibri"/>
        <family val="2"/>
        <scheme val="minor"/>
      </rPr>
      <t>+10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</si>
  <si>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-29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</si>
  <si>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-21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</si>
  <si>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-14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</si>
  <si>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-7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</si>
  <si>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-30</t>
    </r>
    <r>
      <rPr>
        <sz val="11"/>
        <rFont val="Calibri"/>
        <family val="2"/>
        <scheme val="minor"/>
      </rPr>
      <t xml:space="preserve"> days</t>
    </r>
  </si>
  <si>
    <r>
      <t xml:space="preserve">CRD </t>
    </r>
    <r>
      <rPr>
        <sz val="11"/>
        <color rgb="FFFF0000"/>
        <rFont val="Calibri"/>
        <family val="2"/>
        <scheme val="minor"/>
      </rPr>
      <t>+2</t>
    </r>
    <r>
      <rPr>
        <sz val="11"/>
        <rFont val="Calibri"/>
        <family val="2"/>
        <scheme val="minor"/>
      </rPr>
      <t xml:space="preserve"> days</t>
    </r>
  </si>
  <si>
    <r>
      <t xml:space="preserve">CRD </t>
    </r>
    <r>
      <rPr>
        <sz val="11"/>
        <color rgb="FFFF0000"/>
        <rFont val="Calibri"/>
        <family val="2"/>
        <scheme val="minor"/>
      </rPr>
      <t>+5</t>
    </r>
    <r>
      <rPr>
        <sz val="11"/>
        <rFont val="Calibri"/>
        <family val="2"/>
        <scheme val="minor"/>
      </rPr>
      <t xml:space="preserve"> days</t>
    </r>
  </si>
  <si>
    <r>
      <t xml:space="preserve">The date to client </t>
    </r>
    <r>
      <rPr>
        <sz val="11"/>
        <color rgb="FFFF0000"/>
        <rFont val="Calibri"/>
        <family val="2"/>
        <scheme val="minor"/>
      </rPr>
      <t>+2</t>
    </r>
    <r>
      <rPr>
        <sz val="11"/>
        <rFont val="Calibri"/>
        <family val="2"/>
        <scheme val="minor"/>
      </rPr>
      <t xml:space="preserve"> days</t>
    </r>
  </si>
  <si>
    <r>
      <t xml:space="preserve">NEW </t>
    </r>
    <r>
      <rPr>
        <b/>
        <sz val="11"/>
        <color rgb="FFFF0000"/>
        <rFont val="Calibri"/>
        <family val="2"/>
        <scheme val="minor"/>
      </rPr>
      <t>45</t>
    </r>
    <r>
      <rPr>
        <b/>
        <sz val="11"/>
        <rFont val="Calibri"/>
        <family val="2"/>
        <scheme val="minor"/>
      </rPr>
      <t xml:space="preserve"> DAYS</t>
    </r>
  </si>
  <si>
    <r>
      <t xml:space="preserve">New items (lead time = </t>
    </r>
    <r>
      <rPr>
        <b/>
        <sz val="11"/>
        <color rgb="FFFF0000"/>
        <rFont val="Calibri"/>
        <family val="2"/>
        <scheme val="minor"/>
      </rPr>
      <t>45-59</t>
    </r>
    <r>
      <rPr>
        <b/>
        <sz val="11"/>
        <rFont val="Calibri"/>
        <family val="2"/>
        <scheme val="minor"/>
      </rPr>
      <t xml:space="preserve"> day)</t>
    </r>
  </si>
  <si>
    <r>
      <t xml:space="preserve">SC CRD 
 </t>
    </r>
    <r>
      <rPr>
        <sz val="11"/>
        <color rgb="FFFF0000"/>
        <rFont val="Calibri"/>
        <family val="2"/>
        <scheme val="minor"/>
      </rPr>
      <t>-45</t>
    </r>
    <r>
      <rPr>
        <sz val="11"/>
        <rFont val="Calibri"/>
        <family val="2"/>
        <scheme val="minor"/>
      </rPr>
      <t xml:space="preserve"> days</t>
    </r>
  </si>
  <si>
    <r>
      <t xml:space="preserve">SC CRD 
 </t>
    </r>
    <r>
      <rPr>
        <sz val="11"/>
        <color rgb="FFFF0000"/>
        <rFont val="Calibri"/>
        <family val="2"/>
        <scheme val="minor"/>
      </rPr>
      <t>-44</t>
    </r>
    <r>
      <rPr>
        <sz val="11"/>
        <rFont val="Calibri"/>
        <family val="2"/>
        <scheme val="minor"/>
      </rPr>
      <t xml:space="preserve"> days</t>
    </r>
  </si>
  <si>
    <r>
      <t xml:space="preserve">SC CRD 
 </t>
    </r>
    <r>
      <rPr>
        <sz val="11"/>
        <color rgb="FFFF0000"/>
        <rFont val="Calibri"/>
        <family val="2"/>
        <scheme val="minor"/>
      </rPr>
      <t>-40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</si>
  <si>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-43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</si>
  <si>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 xml:space="preserve">-43 </t>
    </r>
    <r>
      <rPr>
        <sz val="11"/>
        <rFont val="Calibri"/>
        <family val="2"/>
        <scheme val="minor"/>
      </rPr>
      <t>days</t>
    </r>
  </si>
  <si>
    <r>
      <t xml:space="preserve">SC CRD </t>
    </r>
    <r>
      <rPr>
        <sz val="11"/>
        <color rgb="FFFF0000"/>
        <rFont val="Calibri"/>
        <family val="2"/>
        <scheme val="minor"/>
      </rPr>
      <t>-36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</si>
  <si>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-44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</si>
  <si>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-37</t>
    </r>
    <r>
      <rPr>
        <sz val="11"/>
        <rFont val="Calibri"/>
        <family val="2"/>
        <scheme val="minor"/>
      </rPr>
      <t xml:space="preserve"> days</t>
    </r>
  </si>
  <si>
    <r>
      <t xml:space="preserve">The date to Design Team </t>
    </r>
    <r>
      <rPr>
        <sz val="11"/>
        <color rgb="FFFF0000"/>
        <rFont val="Calibri"/>
        <family val="2"/>
        <scheme val="minor"/>
      </rPr>
      <t>+7</t>
    </r>
    <r>
      <rPr>
        <sz val="11"/>
        <rFont val="Calibri"/>
        <family val="2"/>
        <scheme val="minor"/>
      </rPr>
      <t xml:space="preserve"> days</t>
    </r>
  </si>
  <si>
    <r>
      <t xml:space="preserve">SC CRD  </t>
    </r>
    <r>
      <rPr>
        <sz val="11"/>
        <color rgb="FFFF0000"/>
        <rFont val="Calibri"/>
        <family val="2"/>
        <scheme val="minor"/>
      </rPr>
      <t>-30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</si>
  <si>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>-23</t>
    </r>
    <r>
      <rPr>
        <sz val="11"/>
        <rFont val="Calibri"/>
        <family val="2"/>
        <scheme val="minor"/>
      </rPr>
      <t xml:space="preserve"> days</t>
    </r>
  </si>
  <si>
    <r>
      <t xml:space="preserve">The date to client </t>
    </r>
    <r>
      <rPr>
        <sz val="11"/>
        <color rgb="FFFF0000"/>
        <rFont val="Calibri"/>
        <family val="2"/>
        <scheme val="minor"/>
      </rPr>
      <t xml:space="preserve">+2 </t>
    </r>
    <r>
      <rPr>
        <sz val="11"/>
        <rFont val="Calibri"/>
        <family val="2"/>
        <scheme val="minor"/>
      </rPr>
      <t>days</t>
    </r>
  </si>
  <si>
    <r>
      <t xml:space="preserve">NEW </t>
    </r>
    <r>
      <rPr>
        <b/>
        <sz val="11"/>
        <color rgb="FFFF0000"/>
        <rFont val="Calibri"/>
        <family val="2"/>
        <scheme val="minor"/>
      </rPr>
      <t>30</t>
    </r>
    <r>
      <rPr>
        <b/>
        <sz val="11"/>
        <rFont val="Calibri"/>
        <family val="2"/>
        <scheme val="minor"/>
      </rPr>
      <t xml:space="preserve"> DAYS</t>
    </r>
  </si>
  <si>
    <r>
      <t xml:space="preserve">New items (lead time = </t>
    </r>
    <r>
      <rPr>
        <b/>
        <sz val="11"/>
        <color rgb="FFFF0000"/>
        <rFont val="Calibri"/>
        <family val="2"/>
        <scheme val="minor"/>
      </rPr>
      <t>30-44</t>
    </r>
    <r>
      <rPr>
        <b/>
        <sz val="11"/>
        <rFont val="Calibri"/>
        <family val="2"/>
        <scheme val="minor"/>
      </rPr>
      <t xml:space="preserve"> day)</t>
    </r>
  </si>
  <si>
    <r>
      <t xml:space="preserve">SC CRD 
 </t>
    </r>
    <r>
      <rPr>
        <sz val="11"/>
        <color rgb="FFFF0000"/>
        <rFont val="Calibri"/>
        <family val="2"/>
        <scheme val="minor"/>
      </rPr>
      <t>-30</t>
    </r>
    <r>
      <rPr>
        <sz val="11"/>
        <rFont val="Calibri"/>
        <family val="2"/>
        <scheme val="minor"/>
      </rPr>
      <t xml:space="preserve"> days</t>
    </r>
  </si>
  <si>
    <r>
      <t xml:space="preserve">SC CRD </t>
    </r>
    <r>
      <rPr>
        <sz val="11"/>
        <color rgb="FFFF0000"/>
        <rFont val="Calibri"/>
        <family val="2"/>
        <scheme val="minor"/>
      </rPr>
      <t xml:space="preserve">-29 </t>
    </r>
    <r>
      <rPr>
        <sz val="11"/>
        <rFont val="Calibri"/>
        <family val="2"/>
        <scheme val="minor"/>
      </rPr>
      <t>days</t>
    </r>
  </si>
  <si>
    <r>
      <t xml:space="preserve">SC CRD </t>
    </r>
    <r>
      <rPr>
        <sz val="11"/>
        <color rgb="FFFF0000"/>
        <rFont val="Calibri"/>
        <family val="2"/>
        <scheme val="minor"/>
      </rPr>
      <t>-22</t>
    </r>
    <r>
      <rPr>
        <sz val="11"/>
        <rFont val="Calibri"/>
        <family val="2"/>
        <scheme val="minor"/>
      </rPr>
      <t xml:space="preserve"> days</t>
    </r>
  </si>
  <si>
    <r>
      <t xml:space="preserve">The date to Design Team </t>
    </r>
    <r>
      <rPr>
        <sz val="11"/>
        <color rgb="FFFF0000"/>
        <rFont val="Calibri"/>
        <family val="2"/>
        <scheme val="minor"/>
      </rPr>
      <t>+4</t>
    </r>
    <r>
      <rPr>
        <sz val="11"/>
        <rFont val="Calibri"/>
        <family val="2"/>
        <scheme val="minor"/>
      </rPr>
      <t xml:space="preserve"> days</t>
    </r>
  </si>
  <si>
    <r>
      <t xml:space="preserve">SC CRD  </t>
    </r>
    <r>
      <rPr>
        <sz val="11"/>
        <color rgb="FFFF0000"/>
        <rFont val="Calibri"/>
        <family val="2"/>
        <scheme val="minor"/>
      </rPr>
      <t>-26</t>
    </r>
    <r>
      <rPr>
        <sz val="11"/>
        <rFont val="Calibri"/>
        <family val="2"/>
        <scheme val="minor"/>
      </rPr>
      <t xml:space="preserve"> days</t>
    </r>
  </si>
  <si>
    <r>
      <t xml:space="preserve">The date to Client </t>
    </r>
    <r>
      <rPr>
        <sz val="11"/>
        <color rgb="FFFF0000"/>
        <rFont val="Calibri"/>
        <family val="2"/>
        <scheme val="minor"/>
      </rPr>
      <t xml:space="preserve">+7 </t>
    </r>
    <r>
      <rPr>
        <sz val="11"/>
        <rFont val="Calibri"/>
        <family val="2"/>
        <scheme val="minor"/>
      </rPr>
      <t>days</t>
    </r>
  </si>
  <si>
    <t>New / Repeat Item</t>
  </si>
  <si>
    <t>NEW</t>
  </si>
  <si>
    <r>
      <t xml:space="preserve">The date to QA 
</t>
    </r>
    <r>
      <rPr>
        <sz val="11"/>
        <color rgb="FFFF0000"/>
        <rFont val="Calibri"/>
        <family val="2"/>
        <scheme val="minor"/>
      </rPr>
      <t>+7</t>
    </r>
    <r>
      <rPr>
        <sz val="11"/>
        <rFont val="Calibri"/>
        <family val="2"/>
        <scheme val="minor"/>
      </rPr>
      <t xml:space="preserve"> days</t>
    </r>
  </si>
  <si>
    <r>
      <t xml:space="preserve">REPEAT </t>
    </r>
    <r>
      <rPr>
        <b/>
        <sz val="11"/>
        <color rgb="FFFF0000"/>
        <rFont val="Calibri"/>
        <family val="2"/>
        <scheme val="minor"/>
      </rPr>
      <t>30</t>
    </r>
    <r>
      <rPr>
        <b/>
        <sz val="11"/>
        <rFont val="Calibri"/>
        <family val="2"/>
        <scheme val="minor"/>
      </rPr>
      <t xml:space="preserve"> DAYS</t>
    </r>
  </si>
  <si>
    <r>
      <t xml:space="preserve">New items (lead time = </t>
    </r>
    <r>
      <rPr>
        <b/>
        <sz val="11"/>
        <color rgb="FFFF0000"/>
        <rFont val="Calibri"/>
        <family val="2"/>
        <scheme val="minor"/>
      </rPr>
      <t>30-60</t>
    </r>
    <r>
      <rPr>
        <b/>
        <sz val="11"/>
        <rFont val="Calibri"/>
        <family val="2"/>
        <scheme val="minor"/>
      </rPr>
      <t xml:space="preserve"> day)</t>
    </r>
  </si>
  <si>
    <r>
      <t xml:space="preserve">SC CRD 
 </t>
    </r>
    <r>
      <rPr>
        <sz val="11"/>
        <color rgb="FFFF0000"/>
        <rFont val="Calibri"/>
        <family val="2"/>
        <scheme val="minor"/>
      </rPr>
      <t>-29</t>
    </r>
    <r>
      <rPr>
        <sz val="11"/>
        <rFont val="Calibri"/>
        <family val="2"/>
        <scheme val="minor"/>
      </rPr>
      <t xml:space="preserve"> days</t>
    </r>
  </si>
  <si>
    <r>
      <t xml:space="preserve">SC CRD  </t>
    </r>
    <r>
      <rPr>
        <sz val="11"/>
        <color rgb="FFFF0000"/>
        <rFont val="Calibri"/>
        <family val="2"/>
        <scheme val="minor"/>
      </rPr>
      <t>-28</t>
    </r>
    <r>
      <rPr>
        <sz val="11"/>
        <rFont val="Calibri"/>
        <family val="2"/>
        <scheme val="minor"/>
      </rPr>
      <t xml:space="preserve"> days</t>
    </r>
  </si>
  <si>
    <t>TEAM COMENTS</t>
  </si>
  <si>
    <t>REMARKS</t>
  </si>
  <si>
    <r>
      <t xml:space="preserve">SC CRD </t>
    </r>
    <r>
      <rPr>
        <sz val="11"/>
        <color rgb="FFFF0000"/>
        <rFont val="Calibri"/>
        <family val="2"/>
        <scheme val="minor"/>
      </rPr>
      <t>-15</t>
    </r>
    <r>
      <rPr>
        <sz val="11"/>
        <rFont val="Calibri"/>
        <family val="2"/>
        <scheme val="minor"/>
      </rPr>
      <t xml:space="preserve">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</si>
</sst>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&quot;$&quot;#,##0.00"/>
    <numFmt numFmtId="166" formatCode="[$-409]d\-mmm;@"/>
  </numFmts>
  <fonts count="28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1"/>
      <charset val="136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33CC"/>
      <name val="Cambria"/>
      <family val="1"/>
      <charset val="136"/>
      <scheme val="major"/>
    </font>
    <font>
      <b/>
      <sz val="11"/>
      <color rgb="FF0033CC"/>
      <name val="Calibri"/>
      <family val="2"/>
      <scheme val="minor"/>
    </font>
    <font>
      <b/>
      <sz val="11"/>
      <color rgb="FF0033CC"/>
      <name val="Cambria"/>
      <family val="1"/>
      <charset val="136"/>
      <scheme val="maj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 shrinkToFit="1"/>
    </xf>
    <xf numFmtId="165" fontId="5" fillId="0" borderId="1" xfId="0" applyNumberFormat="1" applyFont="1" applyBorder="1" applyAlignment="1">
      <alignment horizontal="center" vertical="center" wrapText="1" shrinkToFit="1"/>
    </xf>
    <xf numFmtId="165" fontId="5" fillId="0" borderId="0" xfId="0" applyNumberFormat="1" applyFont="1" applyAlignment="1">
      <alignment horizontal="center" vertical="center" wrapText="1" shrinkToFit="1"/>
    </xf>
    <xf numFmtId="0" fontId="10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 shrinkToFit="1"/>
    </xf>
    <xf numFmtId="165" fontId="10" fillId="0" borderId="21" xfId="0" applyNumberFormat="1" applyFont="1" applyBorder="1" applyAlignment="1">
      <alignment horizontal="center" vertical="center" wrapText="1" shrinkToFit="1"/>
    </xf>
    <xf numFmtId="3" fontId="10" fillId="0" borderId="21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166" fontId="10" fillId="0" borderId="21" xfId="0" applyNumberFormat="1" applyFont="1" applyBorder="1" applyAlignment="1">
      <alignment horizontal="center" vertical="center" wrapText="1"/>
    </xf>
    <xf numFmtId="166" fontId="5" fillId="0" borderId="29" xfId="0" applyNumberFormat="1" applyFont="1" applyBorder="1" applyAlignment="1">
      <alignment horizontal="center" vertical="center" wrapText="1"/>
    </xf>
    <xf numFmtId="166" fontId="5" fillId="0" borderId="33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66" fontId="10" fillId="0" borderId="26" xfId="0" applyNumberFormat="1" applyFont="1" applyBorder="1" applyAlignment="1">
      <alignment horizontal="center" vertical="top" wrapText="1"/>
    </xf>
    <xf numFmtId="166" fontId="5" fillId="0" borderId="2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 shrinkToFit="1"/>
    </xf>
    <xf numFmtId="0" fontId="6" fillId="0" borderId="9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0" xfId="3" applyFont="1" applyFill="1" applyBorder="1" applyAlignment="1" applyProtection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165" fontId="6" fillId="0" borderId="10" xfId="0" applyNumberFormat="1" applyFont="1" applyBorder="1" applyAlignment="1">
      <alignment horizontal="center" vertical="top" wrapText="1" shrinkToFit="1"/>
    </xf>
    <xf numFmtId="3" fontId="6" fillId="0" borderId="10" xfId="0" applyNumberFormat="1" applyFont="1" applyBorder="1" applyAlignment="1">
      <alignment horizontal="center" vertical="top" wrapText="1"/>
    </xf>
    <xf numFmtId="166" fontId="6" fillId="0" borderId="27" xfId="0" applyNumberFormat="1" applyFont="1" applyBorder="1" applyAlignment="1">
      <alignment horizontal="center" vertical="top" wrapText="1"/>
    </xf>
    <xf numFmtId="166" fontId="6" fillId="0" borderId="10" xfId="0" applyNumberFormat="1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166" fontId="6" fillId="0" borderId="16" xfId="0" applyNumberFormat="1" applyFont="1" applyBorder="1" applyAlignment="1">
      <alignment horizontal="center" vertical="top" wrapText="1"/>
    </xf>
    <xf numFmtId="166" fontId="6" fillId="0" borderId="22" xfId="0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13" fillId="3" borderId="21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top" wrapText="1"/>
    </xf>
    <xf numFmtId="166" fontId="6" fillId="0" borderId="0" xfId="0" applyNumberFormat="1" applyFont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66" fontId="5" fillId="4" borderId="29" xfId="0" applyNumberFormat="1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166" fontId="13" fillId="0" borderId="16" xfId="0" applyNumberFormat="1" applyFont="1" applyBorder="1" applyAlignment="1">
      <alignment horizontal="center" vertical="center" wrapText="1"/>
    </xf>
    <xf numFmtId="166" fontId="19" fillId="0" borderId="2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 shrinkToFit="1"/>
    </xf>
    <xf numFmtId="165" fontId="19" fillId="0" borderId="4" xfId="0" applyNumberFormat="1" applyFont="1" applyBorder="1" applyAlignment="1">
      <alignment horizontal="center" vertical="center" wrapText="1" shrinkToFit="1"/>
    </xf>
    <xf numFmtId="3" fontId="19" fillId="0" borderId="4" xfId="0" applyNumberFormat="1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6" fontId="5" fillId="0" borderId="30" xfId="0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 wrapText="1"/>
    </xf>
    <xf numFmtId="164" fontId="10" fillId="0" borderId="21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horizontal="center" vertical="top" wrapText="1"/>
    </xf>
    <xf numFmtId="166" fontId="6" fillId="0" borderId="31" xfId="0" applyNumberFormat="1" applyFont="1" applyBorder="1" applyAlignment="1">
      <alignment horizontal="center" vertical="top" wrapText="1"/>
    </xf>
    <xf numFmtId="166" fontId="6" fillId="0" borderId="9" xfId="0" applyNumberFormat="1" applyFont="1" applyBorder="1" applyAlignment="1">
      <alignment horizontal="center" vertical="top" wrapText="1"/>
    </xf>
    <xf numFmtId="166" fontId="6" fillId="0" borderId="21" xfId="0" applyNumberFormat="1" applyFont="1" applyBorder="1" applyAlignment="1">
      <alignment horizontal="center" vertical="top" wrapText="1"/>
    </xf>
    <xf numFmtId="164" fontId="19" fillId="0" borderId="4" xfId="0" applyNumberFormat="1" applyFont="1" applyBorder="1" applyAlignment="1">
      <alignment horizontal="center" vertical="center" wrapText="1"/>
    </xf>
    <xf numFmtId="164" fontId="19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6" fontId="5" fillId="0" borderId="32" xfId="0" applyNumberFormat="1" applyFont="1" applyBorder="1" applyAlignment="1">
      <alignment horizontal="center" vertical="center" wrapText="1"/>
    </xf>
    <xf numFmtId="166" fontId="5" fillId="0" borderId="35" xfId="0" applyNumberFormat="1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 shrinkToFit="1"/>
    </xf>
    <xf numFmtId="165" fontId="5" fillId="4" borderId="1" xfId="0" applyNumberFormat="1" applyFont="1" applyFill="1" applyBorder="1" applyAlignment="1">
      <alignment horizontal="center" vertical="center" wrapText="1" shrinkToFit="1"/>
    </xf>
    <xf numFmtId="165" fontId="5" fillId="4" borderId="4" xfId="0" applyNumberFormat="1" applyFont="1" applyFill="1" applyBorder="1" applyAlignment="1">
      <alignment horizontal="center" vertical="center" wrapText="1" shrinkToFit="1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6" fontId="13" fillId="0" borderId="15" xfId="0" applyNumberFormat="1" applyFont="1" applyBorder="1" applyAlignment="1">
      <alignment horizontal="center" vertical="center" wrapText="1"/>
    </xf>
    <xf numFmtId="164" fontId="19" fillId="0" borderId="17" xfId="0" applyNumberFormat="1" applyFont="1" applyBorder="1" applyAlignment="1">
      <alignment horizontal="center" vertical="center" wrapText="1"/>
    </xf>
    <xf numFmtId="164" fontId="19" fillId="0" borderId="8" xfId="0" applyNumberFormat="1" applyFont="1" applyBorder="1" applyAlignment="1">
      <alignment horizontal="center" vertical="center" wrapText="1"/>
    </xf>
    <xf numFmtId="164" fontId="19" fillId="0" borderId="36" xfId="0" applyNumberFormat="1" applyFont="1" applyBorder="1" applyAlignment="1">
      <alignment horizontal="center" vertical="center" wrapText="1"/>
    </xf>
    <xf numFmtId="164" fontId="19" fillId="0" borderId="37" xfId="0" applyNumberFormat="1" applyFont="1" applyBorder="1" applyAlignment="1">
      <alignment horizontal="center" vertical="center" wrapText="1"/>
    </xf>
    <xf numFmtId="164" fontId="19" fillId="0" borderId="34" xfId="0" applyNumberFormat="1" applyFont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164" fontId="5" fillId="6" borderId="18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166" fontId="19" fillId="0" borderId="17" xfId="0" applyNumberFormat="1" applyFont="1" applyBorder="1" applyAlignment="1">
      <alignment horizontal="center" vertical="center" wrapText="1"/>
    </xf>
    <xf numFmtId="166" fontId="6" fillId="0" borderId="18" xfId="0" applyNumberFormat="1" applyFont="1" applyBorder="1" applyAlignment="1">
      <alignment horizontal="center" vertical="center" wrapText="1"/>
    </xf>
    <xf numFmtId="166" fontId="6" fillId="4" borderId="18" xfId="0" applyNumberFormat="1" applyFont="1" applyFill="1" applyBorder="1" applyAlignment="1">
      <alignment horizontal="center" vertical="center" wrapText="1"/>
    </xf>
    <xf numFmtId="164" fontId="6" fillId="6" borderId="18" xfId="0" applyNumberFormat="1" applyFont="1" applyFill="1" applyBorder="1" applyAlignment="1">
      <alignment horizontal="center" vertical="center" wrapText="1"/>
    </xf>
    <xf numFmtId="166" fontId="19" fillId="0" borderId="4" xfId="0" applyNumberFormat="1" applyFont="1" applyBorder="1" applyAlignment="1">
      <alignment horizontal="center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64" fontId="5" fillId="7" borderId="18" xfId="0" applyNumberFormat="1" applyFont="1" applyFill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top" wrapText="1"/>
    </xf>
    <xf numFmtId="166" fontId="6" fillId="0" borderId="11" xfId="0" applyNumberFormat="1" applyFont="1" applyBorder="1" applyAlignment="1">
      <alignment horizontal="center" vertical="top" wrapText="1"/>
    </xf>
    <xf numFmtId="166" fontId="6" fillId="0" borderId="12" xfId="0" applyNumberFormat="1" applyFont="1" applyBorder="1" applyAlignment="1">
      <alignment horizontal="center" vertical="top" wrapText="1"/>
    </xf>
    <xf numFmtId="164" fontId="19" fillId="0" borderId="38" xfId="0" applyNumberFormat="1" applyFont="1" applyBorder="1" applyAlignment="1">
      <alignment horizontal="center" vertical="center" wrapText="1"/>
    </xf>
    <xf numFmtId="164" fontId="19" fillId="0" borderId="39" xfId="0" applyNumberFormat="1" applyFont="1" applyBorder="1" applyAlignment="1">
      <alignment horizontal="center" vertical="center" wrapText="1"/>
    </xf>
    <xf numFmtId="164" fontId="19" fillId="0" borderId="40" xfId="0" applyNumberFormat="1" applyFont="1" applyBorder="1" applyAlignment="1">
      <alignment horizontal="center" vertical="center" wrapText="1"/>
    </xf>
    <xf numFmtId="164" fontId="6" fillId="6" borderId="40" xfId="0" applyNumberFormat="1" applyFont="1" applyFill="1" applyBorder="1" applyAlignment="1">
      <alignment horizontal="center" vertical="center" wrapText="1"/>
    </xf>
    <xf numFmtId="164" fontId="0" fillId="7" borderId="39" xfId="0" applyNumberFormat="1" applyFill="1" applyBorder="1" applyAlignment="1">
      <alignment horizontal="center" vertical="center" wrapText="1"/>
    </xf>
    <xf numFmtId="164" fontId="6" fillId="6" borderId="41" xfId="0" applyNumberFormat="1" applyFont="1" applyFill="1" applyBorder="1" applyAlignment="1">
      <alignment horizontal="center" vertical="center" wrapText="1"/>
    </xf>
    <xf numFmtId="164" fontId="5" fillId="6" borderId="42" xfId="0" applyNumberFormat="1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164" fontId="5" fillId="6" borderId="39" xfId="0" applyNumberFormat="1" applyFont="1" applyFill="1" applyBorder="1" applyAlignment="1">
      <alignment horizontal="center" vertical="center" wrapText="1"/>
    </xf>
    <xf numFmtId="166" fontId="6" fillId="0" borderId="20" xfId="0" applyNumberFormat="1" applyFont="1" applyBorder="1" applyAlignment="1">
      <alignment horizontal="center" vertical="top" wrapText="1"/>
    </xf>
    <xf numFmtId="164" fontId="19" fillId="0" borderId="44" xfId="0" applyNumberFormat="1" applyFont="1" applyBorder="1" applyAlignment="1">
      <alignment horizontal="center" vertical="center" wrapText="1"/>
    </xf>
    <xf numFmtId="164" fontId="19" fillId="0" borderId="14" xfId="0" applyNumberFormat="1" applyFont="1" applyBorder="1" applyAlignment="1">
      <alignment horizontal="center" vertical="center" wrapText="1"/>
    </xf>
    <xf numFmtId="164" fontId="19" fillId="0" borderId="13" xfId="0" applyNumberFormat="1" applyFont="1" applyBorder="1" applyAlignment="1">
      <alignment horizontal="center" vertical="center" wrapText="1"/>
    </xf>
    <xf numFmtId="164" fontId="5" fillId="6" borderId="14" xfId="0" applyNumberFormat="1" applyFont="1" applyFill="1" applyBorder="1" applyAlignment="1">
      <alignment horizontal="center" vertical="center" wrapText="1"/>
    </xf>
    <xf numFmtId="164" fontId="19" fillId="0" borderId="44" xfId="0" quotePrefix="1" applyNumberFormat="1" applyFont="1" applyBorder="1" applyAlignment="1">
      <alignment horizontal="center" vertical="center" wrapText="1"/>
    </xf>
    <xf numFmtId="164" fontId="19" fillId="0" borderId="14" xfId="0" quotePrefix="1" applyNumberFormat="1" applyFont="1" applyBorder="1" applyAlignment="1">
      <alignment horizontal="center" vertical="center" wrapText="1"/>
    </xf>
    <xf numFmtId="164" fontId="19" fillId="0" borderId="13" xfId="0" quotePrefix="1" applyNumberFormat="1" applyFont="1" applyBorder="1" applyAlignment="1">
      <alignment horizontal="center" vertical="center" wrapText="1"/>
    </xf>
    <xf numFmtId="166" fontId="19" fillId="0" borderId="6" xfId="0" applyNumberFormat="1" applyFont="1" applyBorder="1" applyAlignment="1">
      <alignment horizontal="center" vertical="center" wrapText="1"/>
    </xf>
    <xf numFmtId="166" fontId="6" fillId="6" borderId="6" xfId="0" applyNumberFormat="1" applyFont="1" applyFill="1" applyBorder="1" applyAlignment="1">
      <alignment horizontal="center" vertical="center" wrapText="1"/>
    </xf>
    <xf numFmtId="166" fontId="13" fillId="0" borderId="19" xfId="0" applyNumberFormat="1" applyFont="1" applyBorder="1" applyAlignment="1">
      <alignment horizontal="center" vertical="center" wrapText="1"/>
    </xf>
    <xf numFmtId="166" fontId="13" fillId="0" borderId="15" xfId="0" applyNumberFormat="1" applyFont="1" applyBorder="1" applyAlignment="1">
      <alignment horizontal="center" vertical="center" wrapText="1"/>
    </xf>
    <xf numFmtId="166" fontId="8" fillId="0" borderId="9" xfId="0" applyNumberFormat="1" applyFont="1" applyBorder="1" applyAlignment="1">
      <alignment horizontal="center" vertical="center" wrapText="1"/>
    </xf>
    <xf numFmtId="166" fontId="8" fillId="0" borderId="16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166" fontId="13" fillId="0" borderId="16" xfId="0" applyNumberFormat="1" applyFont="1" applyBorder="1" applyAlignment="1">
      <alignment horizontal="center" vertical="center" wrapText="1"/>
    </xf>
    <xf numFmtId="166" fontId="13" fillId="0" borderId="43" xfId="0" applyNumberFormat="1" applyFont="1" applyBorder="1" applyAlignment="1">
      <alignment horizontal="center" vertical="center" wrapText="1"/>
    </xf>
    <xf numFmtId="166" fontId="8" fillId="0" borderId="19" xfId="0" applyNumberFormat="1" applyFont="1" applyBorder="1" applyAlignment="1">
      <alignment horizontal="center" vertical="center" wrapText="1"/>
    </xf>
    <xf numFmtId="166" fontId="8" fillId="0" borderId="15" xfId="0" applyNumberFormat="1" applyFont="1" applyBorder="1" applyAlignment="1">
      <alignment horizontal="center" vertical="center" wrapText="1"/>
    </xf>
    <xf numFmtId="166" fontId="5" fillId="0" borderId="0" xfId="0" applyNumberFormat="1" applyFont="1" applyBorder="1" applyAlignment="1">
      <alignment horizontal="center" vertical="center" wrapText="1"/>
    </xf>
    <xf numFmtId="166" fontId="23" fillId="0" borderId="21" xfId="0" applyNumberFormat="1" applyFont="1" applyBorder="1" applyAlignment="1">
      <alignment horizontal="center" vertical="center" wrapText="1"/>
    </xf>
    <xf numFmtId="166" fontId="24" fillId="0" borderId="16" xfId="0" applyNumberFormat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top" wrapText="1"/>
    </xf>
    <xf numFmtId="166" fontId="6" fillId="6" borderId="42" xfId="0" applyNumberFormat="1" applyFont="1" applyFill="1" applyBorder="1" applyAlignment="1">
      <alignment horizontal="center" vertical="center" wrapText="1"/>
    </xf>
    <xf numFmtId="166" fontId="6" fillId="0" borderId="49" xfId="0" applyNumberFormat="1" applyFont="1" applyBorder="1" applyAlignment="1">
      <alignment horizontal="center" vertical="center" wrapText="1"/>
    </xf>
    <xf numFmtId="166" fontId="6" fillId="0" borderId="50" xfId="0" applyNumberFormat="1" applyFont="1" applyBorder="1" applyAlignment="1">
      <alignment horizontal="center" vertical="center" wrapText="1"/>
    </xf>
    <xf numFmtId="166" fontId="6" fillId="0" borderId="52" xfId="0" applyNumberFormat="1" applyFont="1" applyBorder="1" applyAlignment="1">
      <alignment horizontal="center" vertical="center" wrapText="1"/>
    </xf>
    <xf numFmtId="166" fontId="6" fillId="6" borderId="46" xfId="0" applyNumberFormat="1" applyFont="1" applyFill="1" applyBorder="1" applyAlignment="1">
      <alignment horizontal="center" vertical="center" wrapText="1"/>
    </xf>
    <xf numFmtId="164" fontId="6" fillId="0" borderId="52" xfId="0" applyNumberFormat="1" applyFont="1" applyBorder="1" applyAlignment="1">
      <alignment horizontal="center" vertical="center" wrapText="1"/>
    </xf>
    <xf numFmtId="164" fontId="5" fillId="6" borderId="46" xfId="0" applyNumberFormat="1" applyFont="1" applyFill="1" applyBorder="1" applyAlignment="1">
      <alignment horizontal="center" vertical="center" wrapText="1"/>
    </xf>
    <xf numFmtId="166" fontId="5" fillId="0" borderId="43" xfId="0" applyNumberFormat="1" applyFont="1" applyBorder="1" applyAlignment="1">
      <alignment horizontal="center" vertical="center" wrapText="1"/>
    </xf>
    <xf numFmtId="166" fontId="5" fillId="0" borderId="55" xfId="0" applyNumberFormat="1" applyFont="1" applyBorder="1" applyAlignment="1">
      <alignment horizontal="center" vertical="center" wrapText="1"/>
    </xf>
    <xf numFmtId="166" fontId="5" fillId="0" borderId="58" xfId="0" applyNumberFormat="1" applyFont="1" applyBorder="1" applyAlignment="1">
      <alignment horizontal="center" vertical="center" wrapText="1"/>
    </xf>
    <xf numFmtId="166" fontId="5" fillId="0" borderId="60" xfId="0" applyNumberFormat="1" applyFont="1" applyBorder="1" applyAlignment="1">
      <alignment horizontal="center" vertical="center" wrapText="1"/>
    </xf>
    <xf numFmtId="166" fontId="5" fillId="0" borderId="47" xfId="0" applyNumberFormat="1" applyFont="1" applyBorder="1" applyAlignment="1">
      <alignment horizontal="center" vertical="center" wrapText="1"/>
    </xf>
    <xf numFmtId="166" fontId="5" fillId="0" borderId="52" xfId="0" applyNumberFormat="1" applyFont="1" applyBorder="1" applyAlignment="1">
      <alignment horizontal="center" vertical="center" wrapText="1"/>
    </xf>
    <xf numFmtId="164" fontId="5" fillId="6" borderId="45" xfId="0" applyNumberFormat="1" applyFont="1" applyFill="1" applyBorder="1" applyAlignment="1">
      <alignment horizontal="center" vertical="center" wrapText="1"/>
    </xf>
    <xf numFmtId="164" fontId="5" fillId="6" borderId="48" xfId="0" applyNumberFormat="1" applyFont="1" applyFill="1" applyBorder="1" applyAlignment="1">
      <alignment horizontal="center" vertical="center" wrapText="1"/>
    </xf>
    <xf numFmtId="0" fontId="0" fillId="6" borderId="62" xfId="0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166" fontId="19" fillId="0" borderId="51" xfId="0" applyNumberFormat="1" applyFont="1" applyBorder="1" applyAlignment="1">
      <alignment horizontal="center" vertical="center" wrapText="1"/>
    </xf>
    <xf numFmtId="166" fontId="19" fillId="0" borderId="53" xfId="0" applyNumberFormat="1" applyFont="1" applyBorder="1" applyAlignment="1">
      <alignment horizontal="center" vertical="center" wrapText="1"/>
    </xf>
    <xf numFmtId="164" fontId="19" fillId="0" borderId="53" xfId="0" applyNumberFormat="1" applyFont="1" applyBorder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8" fillId="0" borderId="54" xfId="0" applyNumberFormat="1" applyFont="1" applyBorder="1" applyAlignment="1">
      <alignment horizontal="center" vertical="center" wrapText="1"/>
    </xf>
    <xf numFmtId="164" fontId="18" fillId="0" borderId="56" xfId="0" applyNumberFormat="1" applyFont="1" applyBorder="1" applyAlignment="1">
      <alignment horizontal="center" vertical="center" wrapText="1"/>
    </xf>
    <xf numFmtId="164" fontId="18" fillId="0" borderId="59" xfId="0" applyNumberFormat="1" applyFont="1" applyBorder="1" applyAlignment="1">
      <alignment horizontal="center" vertical="center" wrapText="1"/>
    </xf>
    <xf numFmtId="164" fontId="18" fillId="0" borderId="61" xfId="0" applyNumberFormat="1" applyFont="1" applyBorder="1" applyAlignment="1">
      <alignment horizontal="center" vertical="center" wrapText="1"/>
    </xf>
    <xf numFmtId="164" fontId="18" fillId="0" borderId="53" xfId="0" applyNumberFormat="1" applyFont="1" applyBorder="1" applyAlignment="1">
      <alignment horizontal="center" vertical="center" wrapText="1"/>
    </xf>
    <xf numFmtId="166" fontId="6" fillId="0" borderId="17" xfId="0" applyNumberFormat="1" applyFont="1" applyBorder="1" applyAlignment="1">
      <alignment horizontal="center" vertical="center" wrapText="1"/>
    </xf>
    <xf numFmtId="166" fontId="6" fillId="4" borderId="41" xfId="0" applyNumberFormat="1" applyFont="1" applyFill="1" applyBorder="1" applyAlignment="1">
      <alignment horizontal="center" vertical="center" wrapText="1"/>
    </xf>
    <xf numFmtId="166" fontId="24" fillId="0" borderId="15" xfId="0" applyNumberFormat="1" applyFont="1" applyBorder="1" applyAlignment="1">
      <alignment horizontal="center" vertical="center" wrapText="1"/>
    </xf>
    <xf numFmtId="166" fontId="24" fillId="0" borderId="11" xfId="0" applyNumberFormat="1" applyFont="1" applyBorder="1" applyAlignment="1">
      <alignment horizontal="center" vertical="top" wrapText="1"/>
    </xf>
    <xf numFmtId="166" fontId="6" fillId="0" borderId="51" xfId="0" applyNumberFormat="1" applyFont="1" applyBorder="1" applyAlignment="1">
      <alignment horizontal="center" vertical="center" wrapText="1"/>
    </xf>
    <xf numFmtId="166" fontId="19" fillId="0" borderId="49" xfId="0" applyNumberFormat="1" applyFont="1" applyBorder="1" applyAlignment="1">
      <alignment horizontal="center" vertical="center" wrapText="1"/>
    </xf>
    <xf numFmtId="166" fontId="19" fillId="0" borderId="51" xfId="0" applyNumberFormat="1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166" fontId="6" fillId="0" borderId="64" xfId="0" applyNumberFormat="1" applyFont="1" applyBorder="1" applyAlignment="1">
      <alignment horizontal="center" vertical="center" wrapText="1"/>
    </xf>
    <xf numFmtId="166" fontId="19" fillId="0" borderId="50" xfId="0" applyNumberFormat="1" applyFont="1" applyBorder="1" applyAlignment="1">
      <alignment horizontal="center" vertical="center" wrapText="1"/>
    </xf>
    <xf numFmtId="166" fontId="6" fillId="0" borderId="67" xfId="0" applyNumberFormat="1" applyFont="1" applyBorder="1" applyAlignment="1">
      <alignment horizontal="center" vertical="center" wrapText="1"/>
    </xf>
    <xf numFmtId="164" fontId="6" fillId="0" borderId="67" xfId="0" applyNumberFormat="1" applyFont="1" applyBorder="1" applyAlignment="1">
      <alignment horizontal="center" vertical="center" wrapText="1"/>
    </xf>
    <xf numFmtId="166" fontId="5" fillId="0" borderId="65" xfId="0" applyNumberFormat="1" applyFont="1" applyBorder="1" applyAlignment="1">
      <alignment horizontal="center" vertical="center" wrapText="1"/>
    </xf>
    <xf numFmtId="166" fontId="5" fillId="0" borderId="66" xfId="0" applyNumberFormat="1" applyFont="1" applyBorder="1" applyAlignment="1">
      <alignment horizontal="center" vertical="center" wrapText="1"/>
    </xf>
    <xf numFmtId="166" fontId="5" fillId="0" borderId="63" xfId="0" applyNumberFormat="1" applyFont="1" applyBorder="1" applyAlignment="1">
      <alignment horizontal="center" vertical="center" wrapText="1"/>
    </xf>
    <xf numFmtId="166" fontId="5" fillId="0" borderId="67" xfId="0" applyNumberFormat="1" applyFont="1" applyBorder="1" applyAlignment="1">
      <alignment horizontal="center" vertical="center" wrapText="1"/>
    </xf>
    <xf numFmtId="166" fontId="6" fillId="7" borderId="16" xfId="0" applyNumberFormat="1" applyFont="1" applyFill="1" applyBorder="1" applyAlignment="1">
      <alignment horizontal="center" vertical="center" wrapText="1"/>
    </xf>
    <xf numFmtId="164" fontId="6" fillId="7" borderId="16" xfId="0" applyNumberFormat="1" applyFont="1" applyFill="1" applyBorder="1" applyAlignment="1">
      <alignment horizontal="center" vertical="center" wrapText="1"/>
    </xf>
    <xf numFmtId="164" fontId="5" fillId="7" borderId="16" xfId="0" applyNumberFormat="1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164" fontId="6" fillId="6" borderId="48" xfId="0" applyNumberFormat="1" applyFont="1" applyFill="1" applyBorder="1" applyAlignment="1">
      <alignment horizontal="center" vertical="center" wrapText="1"/>
    </xf>
    <xf numFmtId="164" fontId="0" fillId="7" borderId="48" xfId="0" applyNumberFormat="1" applyFill="1" applyBorder="1" applyAlignment="1">
      <alignment horizontal="center" vertical="center" wrapText="1"/>
    </xf>
    <xf numFmtId="164" fontId="5" fillId="6" borderId="57" xfId="0" applyNumberFormat="1" applyFont="1" applyFill="1" applyBorder="1" applyAlignment="1">
      <alignment horizontal="center" vertical="center" wrapText="1"/>
    </xf>
    <xf numFmtId="164" fontId="5" fillId="7" borderId="41" xfId="0" applyNumberFormat="1" applyFont="1" applyFill="1" applyBorder="1" applyAlignment="1">
      <alignment horizontal="center" vertical="center" wrapText="1"/>
    </xf>
    <xf numFmtId="164" fontId="5" fillId="7" borderId="45" xfId="0" applyNumberFormat="1" applyFont="1" applyFill="1" applyBorder="1" applyAlignment="1">
      <alignment horizontal="center" vertical="center" wrapText="1"/>
    </xf>
    <xf numFmtId="164" fontId="5" fillId="6" borderId="41" xfId="0" applyNumberFormat="1" applyFont="1" applyFill="1" applyBorder="1" applyAlignment="1">
      <alignment horizontal="center" vertical="center" wrapText="1"/>
    </xf>
    <xf numFmtId="164" fontId="5" fillId="7" borderId="46" xfId="0" applyNumberFormat="1" applyFont="1" applyFill="1" applyBorder="1" applyAlignment="1">
      <alignment horizontal="center" vertical="center" wrapText="1"/>
    </xf>
    <xf numFmtId="164" fontId="5" fillId="6" borderId="62" xfId="0" applyNumberFormat="1" applyFont="1" applyFill="1" applyBorder="1" applyAlignment="1">
      <alignment horizontal="center" vertical="center" wrapText="1"/>
    </xf>
    <xf numFmtId="166" fontId="5" fillId="7" borderId="16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7" fillId="0" borderId="65" xfId="0" applyNumberFormat="1" applyFont="1" applyBorder="1" applyAlignment="1">
      <alignment horizontal="center" vertical="center" wrapText="1"/>
    </xf>
    <xf numFmtId="0" fontId="27" fillId="0" borderId="66" xfId="0" applyNumberFormat="1" applyFont="1" applyBorder="1" applyAlignment="1">
      <alignment horizontal="center" vertical="center" wrapText="1"/>
    </xf>
    <xf numFmtId="0" fontId="27" fillId="0" borderId="63" xfId="0" applyNumberFormat="1" applyFont="1" applyBorder="1" applyAlignment="1">
      <alignment horizontal="center" vertical="center" wrapText="1"/>
    </xf>
    <xf numFmtId="0" fontId="27" fillId="0" borderId="47" xfId="0" applyNumberFormat="1" applyFont="1" applyBorder="1" applyAlignment="1">
      <alignment horizontal="center" vertical="center" wrapText="1"/>
    </xf>
    <xf numFmtId="0" fontId="27" fillId="0" borderId="30" xfId="0" applyNumberFormat="1" applyFont="1" applyBorder="1" applyAlignment="1">
      <alignment horizontal="center" vertical="center" wrapText="1"/>
    </xf>
    <xf numFmtId="0" fontId="27" fillId="0" borderId="0" xfId="0" applyNumberFormat="1" applyFont="1" applyBorder="1" applyAlignment="1">
      <alignment horizontal="center" vertical="center" wrapText="1"/>
    </xf>
    <xf numFmtId="0" fontId="27" fillId="0" borderId="50" xfId="0" applyNumberFormat="1" applyFont="1" applyBorder="1" applyAlignment="1">
      <alignment horizontal="center" vertical="center" wrapText="1"/>
    </xf>
    <xf numFmtId="0" fontId="27" fillId="0" borderId="23" xfId="0" applyNumberFormat="1" applyFont="1" applyBorder="1" applyAlignment="1">
      <alignment horizontal="center" vertical="center" wrapText="1"/>
    </xf>
    <xf numFmtId="166" fontId="6" fillId="0" borderId="64" xfId="0" applyNumberFormat="1" applyFont="1" applyBorder="1" applyAlignment="1">
      <alignment horizontal="left" vertical="top" wrapText="1"/>
    </xf>
    <xf numFmtId="166" fontId="6" fillId="0" borderId="0" xfId="0" applyNumberFormat="1" applyFont="1" applyAlignment="1">
      <alignment horizontal="left" vertical="top" wrapText="1"/>
    </xf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FFCC00"/>
      <color rgb="FFFFFFCC"/>
      <color rgb="FFFFFFFF"/>
      <color rgb="FFFFCCCC"/>
      <color rgb="FFFF9999"/>
      <color rgb="FFCCFF33"/>
      <color rgb="FF0033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BH1355"/>
  <sheetViews>
    <sheetView tabSelected="1" view="pageBreakPreview" topLeftCell="Q1" zoomScale="85" zoomScaleNormal="85" zoomScaleSheetLayoutView="85" workbookViewId="0">
      <pane ySplit="2" topLeftCell="A9" activePane="bottomLeft" state="frozen"/>
      <selection pane="bottomLeft" activeCell="A12" sqref="A12:V12"/>
    </sheetView>
  </sheetViews>
  <sheetFormatPr defaultColWidth="9.140625" defaultRowHeight="15" outlineLevelCol="1"/>
  <cols>
    <col min="1" max="1" width="10.28515625" style="2" hidden="1" customWidth="1"/>
    <col min="2" max="2" width="7.42578125" style="2" hidden="1" customWidth="1"/>
    <col min="3" max="3" width="12.85546875" style="2" hidden="1" customWidth="1"/>
    <col min="4" max="4" width="11" style="2" hidden="1" customWidth="1"/>
    <col min="5" max="5" width="9.7109375" style="2" hidden="1" customWidth="1"/>
    <col min="6" max="6" width="11" style="53" hidden="1" customWidth="1"/>
    <col min="7" max="7" width="11" style="48" hidden="1" customWidth="1"/>
    <col min="8" max="8" width="11" style="12" hidden="1" customWidth="1"/>
    <col min="9" max="9" width="11" style="2" hidden="1" customWidth="1"/>
    <col min="10" max="10" width="30.140625" style="6" hidden="1" customWidth="1"/>
    <col min="11" max="11" width="7.42578125" style="15" hidden="1" customWidth="1"/>
    <col min="12" max="12" width="11" style="15" hidden="1" customWidth="1"/>
    <col min="13" max="13" width="7.42578125" style="15" hidden="1" customWidth="1"/>
    <col min="14" max="14" width="10.42578125" style="15" hidden="1" customWidth="1"/>
    <col min="15" max="15" width="11.28515625" style="4" hidden="1" customWidth="1"/>
    <col min="16" max="16" width="9.140625" style="2" hidden="1" customWidth="1"/>
    <col min="17" max="17" width="8.85546875" style="29" hidden="1" customWidth="1" outlineLevel="1"/>
    <col min="18" max="18" width="10.7109375" style="50" hidden="1" customWidth="1" outlineLevel="1"/>
    <col min="19" max="19" width="10.7109375" style="50" customWidth="1" outlineLevel="1"/>
    <col min="20" max="20" width="24.85546875" style="50" customWidth="1" outlineLevel="1"/>
    <col min="21" max="21" width="37" style="50" customWidth="1" outlineLevel="1"/>
    <col min="22" max="22" width="14.7109375" style="69" customWidth="1"/>
    <col min="23" max="23" width="9" style="69" hidden="1" customWidth="1"/>
    <col min="24" max="24" width="9" style="70" hidden="1" customWidth="1"/>
    <col min="25" max="25" width="9" style="2" hidden="1" customWidth="1"/>
    <col min="26" max="26" width="9" style="71" hidden="1" customWidth="1"/>
    <col min="27" max="27" width="12.5703125" style="29" customWidth="1"/>
    <col min="28" max="28" width="17" style="73" customWidth="1"/>
    <col min="29" max="29" width="12.5703125" style="85" customWidth="1"/>
    <col min="30" max="30" width="12.5703125" style="26" customWidth="1"/>
    <col min="31" max="32" width="12.5703125" style="27" customWidth="1"/>
    <col min="33" max="33" width="15.140625" style="27" customWidth="1"/>
    <col min="34" max="34" width="12.5703125" style="72" customWidth="1"/>
    <col min="35" max="41" width="12.5703125" style="27" customWidth="1"/>
    <col min="42" max="42" width="12.5703125" style="29" customWidth="1"/>
    <col min="43" max="44" width="12.5703125" style="27" customWidth="1"/>
    <col min="45" max="45" width="12.5703125" style="26" customWidth="1"/>
    <col min="46" max="46" width="14.5703125" style="27" customWidth="1"/>
    <col min="47" max="47" width="12.5703125" style="85" customWidth="1"/>
    <col min="48" max="50" width="12.5703125" style="27" customWidth="1"/>
    <col min="51" max="51" width="12.5703125" style="86" customWidth="1"/>
    <col min="52" max="52" width="12.5703125" style="29" customWidth="1"/>
    <col min="53" max="53" width="12.5703125" style="26" customWidth="1"/>
    <col min="54" max="54" width="12.5703125" style="156" customWidth="1"/>
    <col min="55" max="55" width="12.5703125" style="29" customWidth="1"/>
    <col min="56" max="56" width="12.5703125" style="27" customWidth="1"/>
    <col min="57" max="57" width="12.5703125" style="26" customWidth="1"/>
    <col min="58" max="59" width="12.7109375" style="27" customWidth="1"/>
    <col min="60" max="60" width="35.42578125" style="7" customWidth="1"/>
    <col min="61" max="16384" width="9.140625" style="7"/>
  </cols>
  <sheetData>
    <row r="1" spans="1:60" s="22" customFormat="1" ht="65.25" customHeight="1" thickBot="1">
      <c r="A1" s="44" t="s">
        <v>35</v>
      </c>
      <c r="B1" s="55"/>
      <c r="C1" s="55"/>
      <c r="D1" s="16"/>
      <c r="E1" s="16"/>
      <c r="F1" s="51"/>
      <c r="G1" s="45"/>
      <c r="H1" s="17"/>
      <c r="I1" s="16"/>
      <c r="J1" s="18"/>
      <c r="K1" s="19"/>
      <c r="L1" s="19"/>
      <c r="M1" s="19"/>
      <c r="N1" s="19"/>
      <c r="O1" s="20"/>
      <c r="P1" s="16"/>
      <c r="Q1" s="28"/>
      <c r="R1" s="49"/>
      <c r="S1" s="49"/>
      <c r="T1" s="157" t="s">
        <v>60</v>
      </c>
      <c r="U1" s="157"/>
      <c r="V1" s="157"/>
      <c r="W1" s="74"/>
      <c r="X1" s="75"/>
      <c r="Y1" s="76"/>
      <c r="Z1" s="76"/>
      <c r="AA1" s="147" t="s">
        <v>22</v>
      </c>
      <c r="AB1" s="148"/>
      <c r="AC1" s="153" t="s">
        <v>21</v>
      </c>
      <c r="AD1" s="148"/>
      <c r="AE1" s="154" t="s">
        <v>6</v>
      </c>
      <c r="AF1" s="150"/>
      <c r="AG1" s="150"/>
      <c r="AH1" s="150"/>
      <c r="AI1" s="150"/>
      <c r="AJ1" s="155"/>
      <c r="AK1" s="154" t="s">
        <v>23</v>
      </c>
      <c r="AL1" s="150"/>
      <c r="AM1" s="150"/>
      <c r="AN1" s="150"/>
      <c r="AO1" s="150"/>
      <c r="AP1" s="155"/>
      <c r="AQ1" s="147" t="s">
        <v>56</v>
      </c>
      <c r="AR1" s="148"/>
      <c r="AS1" s="98" t="s">
        <v>59</v>
      </c>
      <c r="AT1" s="56" t="s">
        <v>65</v>
      </c>
      <c r="AU1" s="149" t="s">
        <v>7</v>
      </c>
      <c r="AV1" s="150"/>
      <c r="AW1" s="150"/>
      <c r="AX1" s="150"/>
      <c r="AY1" s="151"/>
      <c r="AZ1" s="147" t="s">
        <v>36</v>
      </c>
      <c r="BA1" s="148"/>
      <c r="BB1" s="147" t="s">
        <v>4</v>
      </c>
      <c r="BC1" s="152"/>
      <c r="BD1" s="152"/>
      <c r="BE1" s="148"/>
      <c r="BF1" s="23"/>
      <c r="BG1" s="24"/>
      <c r="BH1" s="21"/>
    </row>
    <row r="2" spans="1:60" s="10" customFormat="1" ht="62.25" customHeight="1" thickBot="1">
      <c r="A2" s="32" t="s">
        <v>5</v>
      </c>
      <c r="B2" s="33" t="s">
        <v>10</v>
      </c>
      <c r="C2" s="33" t="s">
        <v>29</v>
      </c>
      <c r="D2" s="34" t="s">
        <v>24</v>
      </c>
      <c r="E2" s="34" t="s">
        <v>25</v>
      </c>
      <c r="F2" s="46" t="s">
        <v>32</v>
      </c>
      <c r="G2" s="46" t="s">
        <v>30</v>
      </c>
      <c r="H2" s="35" t="s">
        <v>15</v>
      </c>
      <c r="I2" s="35" t="s">
        <v>31</v>
      </c>
      <c r="J2" s="31" t="s">
        <v>11</v>
      </c>
      <c r="K2" s="36" t="s">
        <v>12</v>
      </c>
      <c r="L2" s="36" t="s">
        <v>13</v>
      </c>
      <c r="M2" s="36" t="s">
        <v>26</v>
      </c>
      <c r="N2" s="36" t="s">
        <v>27</v>
      </c>
      <c r="O2" s="37" t="s">
        <v>14</v>
      </c>
      <c r="P2" s="40" t="s">
        <v>37</v>
      </c>
      <c r="Q2" s="38" t="s">
        <v>16</v>
      </c>
      <c r="R2" s="39" t="s">
        <v>17</v>
      </c>
      <c r="S2" s="193" t="s">
        <v>115</v>
      </c>
      <c r="T2" s="192" t="s">
        <v>62</v>
      </c>
      <c r="U2" s="158" t="s">
        <v>64</v>
      </c>
      <c r="V2" s="159" t="s">
        <v>41</v>
      </c>
      <c r="W2" s="123" t="s">
        <v>0</v>
      </c>
      <c r="X2" s="77" t="s">
        <v>1</v>
      </c>
      <c r="Y2" s="35" t="s">
        <v>2</v>
      </c>
      <c r="Z2" s="78" t="s">
        <v>3</v>
      </c>
      <c r="AA2" s="80" t="s">
        <v>18</v>
      </c>
      <c r="AB2" s="42" t="s">
        <v>42</v>
      </c>
      <c r="AC2" s="80" t="s">
        <v>33</v>
      </c>
      <c r="AD2" s="124" t="s">
        <v>34</v>
      </c>
      <c r="AE2" s="80" t="s">
        <v>52</v>
      </c>
      <c r="AF2" s="42" t="s">
        <v>18</v>
      </c>
      <c r="AG2" s="39" t="s">
        <v>48</v>
      </c>
      <c r="AH2" s="125" t="s">
        <v>33</v>
      </c>
      <c r="AI2" s="39" t="s">
        <v>34</v>
      </c>
      <c r="AJ2" s="124" t="s">
        <v>53</v>
      </c>
      <c r="AK2" s="80" t="s">
        <v>54</v>
      </c>
      <c r="AL2" s="125" t="s">
        <v>55</v>
      </c>
      <c r="AM2" s="39" t="s">
        <v>39</v>
      </c>
      <c r="AN2" s="41" t="s">
        <v>40</v>
      </c>
      <c r="AO2" s="39" t="s">
        <v>33</v>
      </c>
      <c r="AP2" s="124" t="s">
        <v>34</v>
      </c>
      <c r="AQ2" s="41" t="s">
        <v>57</v>
      </c>
      <c r="AR2" s="124" t="s">
        <v>58</v>
      </c>
      <c r="AS2" s="137" t="s">
        <v>50</v>
      </c>
      <c r="AT2" s="137" t="s">
        <v>49</v>
      </c>
      <c r="AU2" s="79" t="s">
        <v>33</v>
      </c>
      <c r="AV2" s="81" t="s">
        <v>34</v>
      </c>
      <c r="AW2" s="39" t="s">
        <v>18</v>
      </c>
      <c r="AX2" s="39" t="s">
        <v>48</v>
      </c>
      <c r="AY2" s="124" t="s">
        <v>51</v>
      </c>
      <c r="AZ2" s="125" t="s">
        <v>33</v>
      </c>
      <c r="BA2" s="124" t="s">
        <v>34</v>
      </c>
      <c r="BB2" s="41" t="s">
        <v>66</v>
      </c>
      <c r="BC2" s="39" t="s">
        <v>20</v>
      </c>
      <c r="BD2" s="41" t="s">
        <v>38</v>
      </c>
      <c r="BE2" s="124" t="s">
        <v>28</v>
      </c>
      <c r="BF2" s="41" t="s">
        <v>19</v>
      </c>
      <c r="BG2" s="42" t="s">
        <v>8</v>
      </c>
      <c r="BH2" s="43" t="s">
        <v>9</v>
      </c>
    </row>
    <row r="3" spans="1:60" s="67" customFormat="1" ht="16.5" hidden="1" customHeight="1" thickBot="1">
      <c r="A3" s="58"/>
      <c r="B3" s="59"/>
      <c r="C3" s="59"/>
      <c r="D3" s="60"/>
      <c r="E3" s="60"/>
      <c r="F3" s="61"/>
      <c r="G3" s="61"/>
      <c r="H3" s="60"/>
      <c r="I3" s="60"/>
      <c r="J3" s="62"/>
      <c r="K3" s="63"/>
      <c r="L3" s="63">
        <f>K3*O3</f>
        <v>0</v>
      </c>
      <c r="M3" s="63"/>
      <c r="N3" s="63">
        <f>M3*O3</f>
        <v>0</v>
      </c>
      <c r="O3" s="64"/>
      <c r="P3" s="65"/>
      <c r="Q3" s="57"/>
      <c r="R3" s="114"/>
      <c r="S3" s="114"/>
      <c r="T3" s="145"/>
      <c r="U3" s="118" t="s">
        <v>46</v>
      </c>
      <c r="V3" s="126">
        <v>46145</v>
      </c>
      <c r="W3" s="99"/>
      <c r="X3" s="83"/>
      <c r="Y3" s="68">
        <f t="shared" ref="Y3:Y6" si="0">V3-W3</f>
        <v>46145</v>
      </c>
      <c r="Z3" s="84" t="str">
        <f t="shared" ref="Z3:Z6" si="1">IF(Y3&gt;=0,"on-time","late")</f>
        <v>on-time</v>
      </c>
      <c r="AA3" s="82">
        <f>V3-60</f>
        <v>46085</v>
      </c>
      <c r="AB3" s="126">
        <f>AA3+7</f>
        <v>46092</v>
      </c>
      <c r="AC3" s="100">
        <f>V3-60</f>
        <v>46085</v>
      </c>
      <c r="AD3" s="128">
        <f>AC3+4</f>
        <v>46089</v>
      </c>
      <c r="AE3" s="104">
        <f>V3-60</f>
        <v>46085</v>
      </c>
      <c r="AF3" s="83">
        <f>V4-60</f>
        <v>46085</v>
      </c>
      <c r="AG3" s="82">
        <f>AF3+7</f>
        <v>46092</v>
      </c>
      <c r="AH3" s="100">
        <f>V3-60</f>
        <v>46085</v>
      </c>
      <c r="AI3" s="82">
        <f>AH3+4</f>
        <v>46089</v>
      </c>
      <c r="AJ3" s="83">
        <f>V3-53</f>
        <v>46092</v>
      </c>
      <c r="AK3" s="101">
        <f>V3-60</f>
        <v>46085</v>
      </c>
      <c r="AL3" s="102">
        <f>V3-60</f>
        <v>46085</v>
      </c>
      <c r="AM3" s="102">
        <f>V3-60</f>
        <v>46085</v>
      </c>
      <c r="AN3" s="99">
        <f>AM3+10</f>
        <v>46095</v>
      </c>
      <c r="AO3" s="102">
        <f>V3-50</f>
        <v>46095</v>
      </c>
      <c r="AP3" s="83">
        <f>AO3+4</f>
        <v>46099</v>
      </c>
      <c r="AQ3" s="83">
        <f>V3-14</f>
        <v>46131</v>
      </c>
      <c r="AR3" s="126">
        <f>AQ3+4</f>
        <v>46135</v>
      </c>
      <c r="AS3" s="138">
        <f>V3-53</f>
        <v>46092</v>
      </c>
      <c r="AT3" s="142">
        <f>V3-21</f>
        <v>46124</v>
      </c>
      <c r="AU3" s="100">
        <f>V3-15</f>
        <v>46130</v>
      </c>
      <c r="AV3" s="99">
        <f>AU3+4</f>
        <v>46134</v>
      </c>
      <c r="AW3" s="102">
        <f>V3-15</f>
        <v>46130</v>
      </c>
      <c r="AX3" s="102">
        <f>AW3+7</f>
        <v>46137</v>
      </c>
      <c r="AY3" s="126">
        <f>AX3</f>
        <v>46137</v>
      </c>
      <c r="AZ3" s="100">
        <f>V3-10</f>
        <v>46135</v>
      </c>
      <c r="BA3" s="126">
        <f>AZ3+2</f>
        <v>46137</v>
      </c>
      <c r="BB3" s="99"/>
      <c r="BC3" s="100">
        <f>V3-10</f>
        <v>46135</v>
      </c>
      <c r="BD3" s="99"/>
      <c r="BE3" s="126"/>
      <c r="BF3" s="99">
        <f>V3</f>
        <v>46145</v>
      </c>
      <c r="BG3" s="83">
        <f>V3</f>
        <v>46145</v>
      </c>
      <c r="BH3" s="66"/>
    </row>
    <row r="4" spans="1:60" s="67" customFormat="1" ht="16.5" hidden="1" customHeight="1">
      <c r="A4" s="58"/>
      <c r="B4" s="59"/>
      <c r="C4" s="59"/>
      <c r="D4" s="60"/>
      <c r="E4" s="60"/>
      <c r="F4" s="61"/>
      <c r="G4" s="61"/>
      <c r="H4" s="60"/>
      <c r="I4" s="60"/>
      <c r="J4" s="62"/>
      <c r="K4" s="63"/>
      <c r="L4" s="63">
        <f>K4*O4</f>
        <v>0</v>
      </c>
      <c r="M4" s="63"/>
      <c r="N4" s="63">
        <f>M4*O4</f>
        <v>0</v>
      </c>
      <c r="O4" s="64"/>
      <c r="P4" s="65"/>
      <c r="Q4" s="57"/>
      <c r="R4" s="114"/>
      <c r="S4" s="114"/>
      <c r="T4" s="145"/>
      <c r="U4" s="118" t="s">
        <v>47</v>
      </c>
      <c r="V4" s="127">
        <v>46145</v>
      </c>
      <c r="W4" s="99"/>
      <c r="X4" s="83"/>
      <c r="Y4" s="68">
        <f t="shared" ref="Y4" si="2">V4-W4</f>
        <v>46145</v>
      </c>
      <c r="Z4" s="84" t="str">
        <f t="shared" ref="Z4" si="3">IF(Y4&gt;=0,"on-time","late")</f>
        <v>on-time</v>
      </c>
      <c r="AA4" s="83" t="s">
        <v>45</v>
      </c>
      <c r="AB4" s="127" t="s">
        <v>45</v>
      </c>
      <c r="AC4" s="100">
        <f>V4-60</f>
        <v>46085</v>
      </c>
      <c r="AD4" s="128">
        <f>AC4+4</f>
        <v>46089</v>
      </c>
      <c r="AE4" s="104" t="s">
        <v>45</v>
      </c>
      <c r="AF4" s="83" t="s">
        <v>45</v>
      </c>
      <c r="AG4" s="82" t="s">
        <v>45</v>
      </c>
      <c r="AH4" s="100" t="s">
        <v>45</v>
      </c>
      <c r="AI4" s="82" t="s">
        <v>45</v>
      </c>
      <c r="AJ4" s="82" t="s">
        <v>45</v>
      </c>
      <c r="AK4" s="135" t="s">
        <v>45</v>
      </c>
      <c r="AL4" s="100" t="s">
        <v>45</v>
      </c>
      <c r="AM4" s="82" t="s">
        <v>45</v>
      </c>
      <c r="AN4" s="99" t="s">
        <v>45</v>
      </c>
      <c r="AO4" s="102" t="s">
        <v>45</v>
      </c>
      <c r="AP4" s="103" t="s">
        <v>45</v>
      </c>
      <c r="AQ4" s="83" t="s">
        <v>45</v>
      </c>
      <c r="AR4" s="127" t="s">
        <v>45</v>
      </c>
      <c r="AS4" s="139" t="s">
        <v>45</v>
      </c>
      <c r="AT4" s="143">
        <f>V4-21</f>
        <v>46124</v>
      </c>
      <c r="AU4" s="100">
        <f>V4-15</f>
        <v>46130</v>
      </c>
      <c r="AV4" s="99">
        <f>AU4+4</f>
        <v>46134</v>
      </c>
      <c r="AW4" s="105">
        <f>V4-15</f>
        <v>46130</v>
      </c>
      <c r="AX4" s="105">
        <f>AW4+7</f>
        <v>46137</v>
      </c>
      <c r="AY4" s="127">
        <f>AX4</f>
        <v>46137</v>
      </c>
      <c r="AZ4" s="100">
        <f>V4-10</f>
        <v>46135</v>
      </c>
      <c r="BA4" s="127">
        <f>AZ4+2</f>
        <v>46137</v>
      </c>
      <c r="BB4" s="99"/>
      <c r="BC4" s="100">
        <f>V4-10</f>
        <v>46135</v>
      </c>
      <c r="BD4" s="99"/>
      <c r="BE4" s="128"/>
      <c r="BF4" s="99">
        <f>V4</f>
        <v>46145</v>
      </c>
      <c r="BG4" s="83">
        <f>V4</f>
        <v>46145</v>
      </c>
      <c r="BH4" s="66"/>
    </row>
    <row r="5" spans="1:60" s="67" customFormat="1" ht="16.5" hidden="1" customHeight="1">
      <c r="A5" s="58"/>
      <c r="B5" s="59"/>
      <c r="C5" s="59"/>
      <c r="D5" s="60"/>
      <c r="E5" s="60"/>
      <c r="F5" s="61"/>
      <c r="G5" s="61"/>
      <c r="H5" s="60"/>
      <c r="I5" s="60"/>
      <c r="J5" s="62"/>
      <c r="K5" s="63"/>
      <c r="L5" s="63"/>
      <c r="M5" s="63"/>
      <c r="N5" s="63"/>
      <c r="O5" s="64"/>
      <c r="P5" s="68"/>
      <c r="Q5" s="57"/>
      <c r="R5" s="114"/>
      <c r="S5" s="114"/>
      <c r="T5" s="145"/>
      <c r="U5" s="118"/>
      <c r="V5" s="128"/>
      <c r="W5" s="99"/>
      <c r="X5" s="83"/>
      <c r="Y5" s="68"/>
      <c r="Z5" s="84"/>
      <c r="AA5" s="83"/>
      <c r="AB5" s="128"/>
      <c r="AC5" s="100"/>
      <c r="AD5" s="128"/>
      <c r="AE5" s="104"/>
      <c r="AF5" s="105"/>
      <c r="AG5" s="99"/>
      <c r="AH5" s="100"/>
      <c r="AI5" s="100"/>
      <c r="AJ5" s="82"/>
      <c r="AK5" s="104"/>
      <c r="AL5" s="100"/>
      <c r="AM5" s="82"/>
      <c r="AN5" s="99"/>
      <c r="AO5" s="99"/>
      <c r="AP5" s="82"/>
      <c r="AQ5" s="83"/>
      <c r="AR5" s="128"/>
      <c r="AS5" s="140"/>
      <c r="AT5" s="144"/>
      <c r="AU5" s="100"/>
      <c r="AV5" s="99"/>
      <c r="AW5" s="82"/>
      <c r="AX5" s="99"/>
      <c r="AY5" s="128"/>
      <c r="AZ5" s="100"/>
      <c r="BA5" s="128"/>
      <c r="BB5" s="99"/>
      <c r="BC5" s="100"/>
      <c r="BD5" s="99"/>
      <c r="BE5" s="128"/>
      <c r="BF5" s="99"/>
      <c r="BG5" s="83"/>
      <c r="BH5" s="66"/>
    </row>
    <row r="6" spans="1:60" ht="16.5" hidden="1" customHeight="1">
      <c r="A6" s="8"/>
      <c r="B6" s="30"/>
      <c r="C6" s="30"/>
      <c r="D6" s="1"/>
      <c r="E6" s="1"/>
      <c r="F6" s="52"/>
      <c r="G6" s="47"/>
      <c r="H6" s="11"/>
      <c r="I6" s="1"/>
      <c r="J6" s="5"/>
      <c r="K6" s="14"/>
      <c r="L6" s="13">
        <f t="shared" ref="L6" si="4">K6*O6</f>
        <v>0</v>
      </c>
      <c r="M6" s="13"/>
      <c r="N6" s="13">
        <f t="shared" ref="N6" si="5">M6*O6</f>
        <v>0</v>
      </c>
      <c r="O6" s="3"/>
      <c r="P6" s="9"/>
      <c r="Q6" s="25"/>
      <c r="R6" s="115"/>
      <c r="S6" s="190"/>
      <c r="T6" s="146"/>
      <c r="U6" s="119" t="s">
        <v>43</v>
      </c>
      <c r="V6" s="129">
        <v>46145</v>
      </c>
      <c r="W6" s="117"/>
      <c r="X6" s="106"/>
      <c r="Y6" s="107">
        <f t="shared" si="0"/>
        <v>46145</v>
      </c>
      <c r="Z6" s="108" t="str">
        <f t="shared" si="1"/>
        <v>on-time</v>
      </c>
      <c r="AA6" s="106"/>
      <c r="AB6" s="130">
        <f>AA6+7</f>
        <v>7</v>
      </c>
      <c r="AC6" s="109"/>
      <c r="AD6" s="130">
        <f>AC6+4</f>
        <v>4</v>
      </c>
      <c r="AE6" s="112"/>
      <c r="AF6" s="111"/>
      <c r="AG6" s="120">
        <f>AF6+7</f>
        <v>7</v>
      </c>
      <c r="AH6" s="109"/>
      <c r="AI6" s="121">
        <f>AH6+4</f>
        <v>4</v>
      </c>
      <c r="AJ6" s="111"/>
      <c r="AK6" s="112"/>
      <c r="AL6" s="109"/>
      <c r="AM6" s="111"/>
      <c r="AN6" s="120">
        <f>AM6+10</f>
        <v>10</v>
      </c>
      <c r="AO6" s="110"/>
      <c r="AP6" s="122">
        <f>AO6+4</f>
        <v>4</v>
      </c>
      <c r="AQ6" s="106"/>
      <c r="AR6" s="136"/>
      <c r="AS6" s="141"/>
      <c r="AT6" s="141"/>
      <c r="AU6" s="109"/>
      <c r="AV6" s="120">
        <f>AU6+4</f>
        <v>4</v>
      </c>
      <c r="AW6" s="111"/>
      <c r="AX6" s="120">
        <f>AW6+7</f>
        <v>7</v>
      </c>
      <c r="AY6" s="136"/>
      <c r="AZ6" s="109"/>
      <c r="BA6" s="136"/>
      <c r="BB6" s="110"/>
      <c r="BC6" s="109"/>
      <c r="BD6" s="110"/>
      <c r="BE6" s="136"/>
      <c r="BF6" s="110"/>
      <c r="BG6" s="106"/>
      <c r="BH6" s="113"/>
    </row>
    <row r="7" spans="1:60" ht="16.5" hidden="1" customHeight="1">
      <c r="A7" s="8"/>
      <c r="B7" s="30"/>
      <c r="C7" s="30"/>
      <c r="D7" s="1"/>
      <c r="E7" s="1"/>
      <c r="F7" s="52"/>
      <c r="G7" s="47"/>
      <c r="H7" s="11"/>
      <c r="I7" s="1"/>
      <c r="J7" s="5"/>
      <c r="K7" s="14"/>
      <c r="L7" s="13"/>
      <c r="M7" s="13"/>
      <c r="N7" s="13"/>
      <c r="O7" s="3"/>
      <c r="P7" s="9"/>
      <c r="Q7" s="25"/>
      <c r="R7" s="115"/>
      <c r="S7" s="190"/>
      <c r="T7" s="146"/>
      <c r="U7" s="119" t="s">
        <v>44</v>
      </c>
      <c r="V7" s="129">
        <v>46145</v>
      </c>
      <c r="W7" s="117"/>
      <c r="X7" s="106"/>
      <c r="Y7" s="107"/>
      <c r="Z7" s="108"/>
      <c r="AA7" s="106"/>
      <c r="AB7" s="130">
        <f>AA7+7</f>
        <v>7</v>
      </c>
      <c r="AC7" s="109"/>
      <c r="AD7" s="130">
        <f t="shared" ref="AD7:AD8" si="6">AC7+4</f>
        <v>4</v>
      </c>
      <c r="AE7" s="112"/>
      <c r="AF7" s="111"/>
      <c r="AG7" s="120">
        <f t="shared" ref="AG7:AG8" si="7">AF7+7</f>
        <v>7</v>
      </c>
      <c r="AH7" s="109"/>
      <c r="AI7" s="121">
        <f t="shared" ref="AI7:AI8" si="8">AH7+4</f>
        <v>4</v>
      </c>
      <c r="AJ7" s="111"/>
      <c r="AK7" s="112"/>
      <c r="AL7" s="109"/>
      <c r="AM7" s="111"/>
      <c r="AN7" s="120">
        <f t="shared" ref="AN7:AN8" si="9">AM7+10</f>
        <v>10</v>
      </c>
      <c r="AO7" s="110"/>
      <c r="AP7" s="122">
        <f t="shared" ref="AP7:AP8" si="10">AO7+4</f>
        <v>4</v>
      </c>
      <c r="AQ7" s="106"/>
      <c r="AR7" s="136"/>
      <c r="AS7" s="141"/>
      <c r="AT7" s="141"/>
      <c r="AU7" s="109"/>
      <c r="AV7" s="120">
        <f t="shared" ref="AV7:AV8" si="11">AU7+4</f>
        <v>4</v>
      </c>
      <c r="AW7" s="111"/>
      <c r="AX7" s="120">
        <f t="shared" ref="AX7:AX8" si="12">AW7+7</f>
        <v>7</v>
      </c>
      <c r="AY7" s="136"/>
      <c r="AZ7" s="109"/>
      <c r="BA7" s="136"/>
      <c r="BB7" s="110"/>
      <c r="BC7" s="109"/>
      <c r="BD7" s="110"/>
      <c r="BE7" s="136"/>
      <c r="BF7" s="110"/>
      <c r="BG7" s="106"/>
      <c r="BH7" s="113"/>
    </row>
    <row r="8" spans="1:60" s="97" customFormat="1" ht="16.5" hidden="1" customHeight="1" thickBot="1">
      <c r="A8" s="87"/>
      <c r="B8" s="88"/>
      <c r="C8" s="88"/>
      <c r="D8" s="89"/>
      <c r="E8" s="89"/>
      <c r="F8" s="90"/>
      <c r="G8" s="91"/>
      <c r="H8" s="90"/>
      <c r="I8" s="89"/>
      <c r="J8" s="92"/>
      <c r="K8" s="93"/>
      <c r="L8" s="94"/>
      <c r="M8" s="94"/>
      <c r="N8" s="94"/>
      <c r="O8" s="95"/>
      <c r="P8" s="96"/>
      <c r="Q8" s="54"/>
      <c r="R8" s="116"/>
      <c r="S8" s="191"/>
      <c r="T8" s="160"/>
      <c r="U8" s="164" t="s">
        <v>61</v>
      </c>
      <c r="V8" s="212">
        <v>46145</v>
      </c>
      <c r="W8" s="131"/>
      <c r="X8" s="132"/>
      <c r="Y8" s="133"/>
      <c r="Z8" s="134"/>
      <c r="AA8" s="166"/>
      <c r="AB8" s="213">
        <f>AA8+7</f>
        <v>7</v>
      </c>
      <c r="AC8" s="214"/>
      <c r="AD8" s="213">
        <f t="shared" si="6"/>
        <v>4</v>
      </c>
      <c r="AE8" s="214"/>
      <c r="AF8" s="166"/>
      <c r="AG8" s="215">
        <f t="shared" si="7"/>
        <v>7</v>
      </c>
      <c r="AH8" s="173"/>
      <c r="AI8" s="216">
        <f t="shared" si="8"/>
        <v>4</v>
      </c>
      <c r="AJ8" s="166"/>
      <c r="AK8" s="214"/>
      <c r="AL8" s="173"/>
      <c r="AM8" s="166"/>
      <c r="AN8" s="215">
        <f t="shared" si="9"/>
        <v>10</v>
      </c>
      <c r="AO8" s="217"/>
      <c r="AP8" s="218">
        <f t="shared" si="10"/>
        <v>4</v>
      </c>
      <c r="AQ8" s="132"/>
      <c r="AR8" s="174"/>
      <c r="AS8" s="219"/>
      <c r="AT8" s="219"/>
      <c r="AU8" s="173"/>
      <c r="AV8" s="215">
        <f t="shared" si="11"/>
        <v>4</v>
      </c>
      <c r="AW8" s="166"/>
      <c r="AX8" s="215">
        <f t="shared" si="12"/>
        <v>7</v>
      </c>
      <c r="AY8" s="174"/>
      <c r="AZ8" s="173"/>
      <c r="BA8" s="174"/>
      <c r="BB8" s="217"/>
      <c r="BC8" s="173"/>
      <c r="BD8" s="217"/>
      <c r="BE8" s="174"/>
      <c r="BF8" s="217"/>
      <c r="BG8" s="132"/>
      <c r="BH8" s="175"/>
    </row>
    <row r="9" spans="1:60" ht="22.5" customHeight="1" thickBot="1">
      <c r="S9" s="206"/>
      <c r="T9" s="206"/>
      <c r="U9" s="206"/>
      <c r="V9" s="207"/>
      <c r="W9" s="207"/>
      <c r="X9" s="208"/>
      <c r="Y9" s="209"/>
      <c r="Z9" s="21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211"/>
    </row>
    <row r="10" spans="1:60" ht="68.25" customHeight="1">
      <c r="S10" s="199" t="s">
        <v>116</v>
      </c>
      <c r="T10" s="162" t="s">
        <v>82</v>
      </c>
      <c r="U10" s="200" t="s">
        <v>70</v>
      </c>
      <c r="V10" s="201"/>
      <c r="AA10" s="202" t="s">
        <v>69</v>
      </c>
      <c r="AB10" s="203" t="s">
        <v>76</v>
      </c>
      <c r="AC10" s="204" t="s">
        <v>72</v>
      </c>
      <c r="AD10" s="203" t="s">
        <v>73</v>
      </c>
      <c r="AE10" s="204" t="s">
        <v>74</v>
      </c>
      <c r="AF10" s="171" t="s">
        <v>75</v>
      </c>
      <c r="AG10" s="171" t="s">
        <v>117</v>
      </c>
      <c r="AH10" s="171" t="s">
        <v>75</v>
      </c>
      <c r="AI10" s="171" t="s">
        <v>81</v>
      </c>
      <c r="AJ10" s="203" t="s">
        <v>77</v>
      </c>
      <c r="AK10" s="204" t="s">
        <v>78</v>
      </c>
      <c r="AL10" s="171" t="s">
        <v>73</v>
      </c>
      <c r="AM10" s="171" t="s">
        <v>79</v>
      </c>
      <c r="AN10" s="171" t="s">
        <v>80</v>
      </c>
      <c r="AO10" s="171" t="s">
        <v>83</v>
      </c>
      <c r="AP10" s="203" t="s">
        <v>84</v>
      </c>
      <c r="AQ10" s="204" t="s">
        <v>85</v>
      </c>
      <c r="AR10" s="203" t="s">
        <v>81</v>
      </c>
      <c r="AS10" s="205" t="s">
        <v>86</v>
      </c>
      <c r="AT10" s="205" t="s">
        <v>86</v>
      </c>
      <c r="AU10" s="204" t="s">
        <v>87</v>
      </c>
      <c r="AV10" s="171" t="s">
        <v>73</v>
      </c>
      <c r="AW10" s="171" t="s">
        <v>87</v>
      </c>
      <c r="AX10" s="171" t="s">
        <v>71</v>
      </c>
      <c r="AY10" s="203" t="s">
        <v>88</v>
      </c>
      <c r="AZ10" s="204" t="s">
        <v>88</v>
      </c>
      <c r="BA10" s="203" t="s">
        <v>92</v>
      </c>
      <c r="BB10" s="204" t="s">
        <v>89</v>
      </c>
      <c r="BC10" s="171" t="s">
        <v>124</v>
      </c>
      <c r="BD10" s="171"/>
      <c r="BE10" s="203"/>
      <c r="BF10" s="204" t="s">
        <v>90</v>
      </c>
      <c r="BG10" s="203" t="s">
        <v>91</v>
      </c>
      <c r="BH10" s="176"/>
    </row>
    <row r="11" spans="1:60" ht="34.5" customHeight="1" thickBot="1">
      <c r="S11" s="196"/>
      <c r="T11" s="178" t="s">
        <v>67</v>
      </c>
      <c r="U11" s="179" t="s">
        <v>68</v>
      </c>
      <c r="V11" s="180">
        <v>45811</v>
      </c>
      <c r="W11" s="181"/>
      <c r="X11" s="182"/>
      <c r="Y11" s="183"/>
      <c r="Z11" s="184"/>
      <c r="AA11" s="185">
        <f>V11-60</f>
        <v>45751</v>
      </c>
      <c r="AB11" s="186">
        <f>AA11+7</f>
        <v>45758</v>
      </c>
      <c r="AC11" s="187">
        <f>V11-55</f>
        <v>45756</v>
      </c>
      <c r="AD11" s="186">
        <f>AC11+7</f>
        <v>45763</v>
      </c>
      <c r="AE11" s="187">
        <f>V11-59</f>
        <v>45752</v>
      </c>
      <c r="AF11" s="188">
        <f>V11-58</f>
        <v>45753</v>
      </c>
      <c r="AG11" s="188">
        <f>AF11+7</f>
        <v>45760</v>
      </c>
      <c r="AH11" s="188">
        <f>V11-58</f>
        <v>45753</v>
      </c>
      <c r="AI11" s="188">
        <f>AH11+7</f>
        <v>45760</v>
      </c>
      <c r="AJ11" s="186">
        <f>V11-50</f>
        <v>45761</v>
      </c>
      <c r="AK11" s="185">
        <f>V11-55</f>
        <v>45756</v>
      </c>
      <c r="AL11" s="188">
        <f>AK11+7</f>
        <v>45763</v>
      </c>
      <c r="AM11" s="188">
        <f>V11-47</f>
        <v>45764</v>
      </c>
      <c r="AN11" s="188">
        <f>AM11+10</f>
        <v>45774</v>
      </c>
      <c r="AO11" s="188">
        <f>V11-37</f>
        <v>45774</v>
      </c>
      <c r="AP11" s="186">
        <f>AO11+10</f>
        <v>45784</v>
      </c>
      <c r="AQ11" s="187">
        <f>V11-29</f>
        <v>45782</v>
      </c>
      <c r="AR11" s="186">
        <f>AQ11+7</f>
        <v>45789</v>
      </c>
      <c r="AS11" s="189">
        <f>V11-21</f>
        <v>45790</v>
      </c>
      <c r="AT11" s="189">
        <f>V11-21</f>
        <v>45790</v>
      </c>
      <c r="AU11" s="187">
        <f>V11-14</f>
        <v>45797</v>
      </c>
      <c r="AV11" s="188">
        <f>AU11+7</f>
        <v>45804</v>
      </c>
      <c r="AW11" s="188">
        <f>V11-14</f>
        <v>45797</v>
      </c>
      <c r="AX11" s="188">
        <f>AW11+7</f>
        <v>45804</v>
      </c>
      <c r="AY11" s="186">
        <f>V11-7</f>
        <v>45804</v>
      </c>
      <c r="AZ11" s="187">
        <f>V11-7</f>
        <v>45804</v>
      </c>
      <c r="BA11" s="186">
        <f>AZ11+2</f>
        <v>45806</v>
      </c>
      <c r="BB11" s="187">
        <f>V11-30</f>
        <v>45781</v>
      </c>
      <c r="BC11" s="188">
        <f>V11-15</f>
        <v>45796</v>
      </c>
      <c r="BD11" s="188"/>
      <c r="BE11" s="186"/>
      <c r="BF11" s="187">
        <f>V11+2</f>
        <v>45813</v>
      </c>
      <c r="BG11" s="186">
        <f>V11+5</f>
        <v>45816</v>
      </c>
      <c r="BH11" s="177"/>
    </row>
    <row r="12" spans="1:60" ht="76.5" customHeight="1" thickBot="1">
      <c r="A12" s="221" t="s">
        <v>122</v>
      </c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2"/>
      <c r="W12" s="181"/>
      <c r="X12" s="182"/>
      <c r="Y12" s="183"/>
      <c r="Z12" s="184"/>
      <c r="AA12" s="223"/>
      <c r="AB12" s="224"/>
      <c r="AC12" s="225"/>
      <c r="AD12" s="224"/>
      <c r="AE12" s="225"/>
      <c r="AF12" s="226"/>
      <c r="AG12" s="226"/>
      <c r="AH12" s="226"/>
      <c r="AI12" s="226"/>
      <c r="AJ12" s="224"/>
      <c r="AK12" s="223"/>
      <c r="AL12" s="226"/>
      <c r="AM12" s="226"/>
      <c r="AN12" s="226"/>
      <c r="AO12" s="226"/>
      <c r="AP12" s="224"/>
      <c r="AQ12" s="225"/>
      <c r="AR12" s="227"/>
      <c r="AS12" s="228"/>
      <c r="AT12" s="229"/>
      <c r="AU12" s="225"/>
      <c r="AV12" s="226"/>
      <c r="AW12" s="226"/>
      <c r="AX12" s="226"/>
      <c r="AY12" s="224"/>
      <c r="AZ12" s="225"/>
      <c r="BA12" s="224"/>
      <c r="BB12" s="225"/>
      <c r="BC12" s="226"/>
      <c r="BD12" s="226"/>
      <c r="BE12" s="224"/>
      <c r="BF12" s="225"/>
      <c r="BG12" s="224"/>
      <c r="BH12" s="230"/>
    </row>
    <row r="13" spans="1:60" ht="22.5" customHeight="1" thickBot="1">
      <c r="S13" s="206"/>
      <c r="T13" s="206"/>
      <c r="U13" s="206"/>
      <c r="V13" s="207"/>
      <c r="W13" s="207"/>
      <c r="X13" s="208"/>
      <c r="Y13" s="209"/>
      <c r="Z13" s="210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11"/>
    </row>
    <row r="14" spans="1:60" ht="68.25" customHeight="1">
      <c r="S14" s="199" t="s">
        <v>116</v>
      </c>
      <c r="T14" s="162" t="s">
        <v>93</v>
      </c>
      <c r="U14" s="200" t="s">
        <v>94</v>
      </c>
      <c r="V14" s="201"/>
      <c r="AA14" s="202" t="s">
        <v>95</v>
      </c>
      <c r="AB14" s="203" t="s">
        <v>76</v>
      </c>
      <c r="AC14" s="204" t="s">
        <v>97</v>
      </c>
      <c r="AD14" s="203" t="s">
        <v>73</v>
      </c>
      <c r="AE14" s="204" t="s">
        <v>96</v>
      </c>
      <c r="AF14" s="171" t="s">
        <v>98</v>
      </c>
      <c r="AG14" s="171" t="s">
        <v>76</v>
      </c>
      <c r="AH14" s="171" t="s">
        <v>99</v>
      </c>
      <c r="AI14" s="171" t="s">
        <v>81</v>
      </c>
      <c r="AJ14" s="203" t="s">
        <v>100</v>
      </c>
      <c r="AK14" s="204" t="s">
        <v>101</v>
      </c>
      <c r="AL14" s="171" t="s">
        <v>73</v>
      </c>
      <c r="AM14" s="171" t="s">
        <v>102</v>
      </c>
      <c r="AN14" s="171" t="s">
        <v>103</v>
      </c>
      <c r="AO14" s="171" t="s">
        <v>104</v>
      </c>
      <c r="AP14" s="203" t="s">
        <v>114</v>
      </c>
      <c r="AQ14" s="204" t="s">
        <v>105</v>
      </c>
      <c r="AR14" s="203" t="s">
        <v>106</v>
      </c>
      <c r="AS14" s="205" t="s">
        <v>86</v>
      </c>
      <c r="AT14" s="205" t="s">
        <v>86</v>
      </c>
      <c r="AU14" s="204" t="s">
        <v>87</v>
      </c>
      <c r="AV14" s="171" t="s">
        <v>73</v>
      </c>
      <c r="AW14" s="171" t="s">
        <v>87</v>
      </c>
      <c r="AX14" s="171" t="s">
        <v>71</v>
      </c>
      <c r="AY14" s="203" t="s">
        <v>88</v>
      </c>
      <c r="AZ14" s="204" t="s">
        <v>88</v>
      </c>
      <c r="BA14" s="203" t="s">
        <v>92</v>
      </c>
      <c r="BB14" s="204" t="s">
        <v>89</v>
      </c>
      <c r="BC14" s="171" t="s">
        <v>124</v>
      </c>
      <c r="BD14" s="171"/>
      <c r="BE14" s="203"/>
      <c r="BF14" s="204" t="s">
        <v>90</v>
      </c>
      <c r="BG14" s="203" t="s">
        <v>91</v>
      </c>
      <c r="BH14" s="176"/>
    </row>
    <row r="15" spans="1:60" ht="34.5" customHeight="1" thickBot="1">
      <c r="S15" s="194"/>
      <c r="T15" s="178" t="s">
        <v>67</v>
      </c>
      <c r="U15" s="179" t="s">
        <v>68</v>
      </c>
      <c r="V15" s="180">
        <v>45811</v>
      </c>
      <c r="W15" s="181"/>
      <c r="X15" s="182"/>
      <c r="Y15" s="183"/>
      <c r="Z15" s="184"/>
      <c r="AA15" s="185">
        <f>V15-45</f>
        <v>45766</v>
      </c>
      <c r="AB15" s="186">
        <f>AA15+7</f>
        <v>45773</v>
      </c>
      <c r="AC15" s="187">
        <f>V15-40</f>
        <v>45771</v>
      </c>
      <c r="AD15" s="186">
        <f>AC15+7</f>
        <v>45778</v>
      </c>
      <c r="AE15" s="187">
        <f>V15-44</f>
        <v>45767</v>
      </c>
      <c r="AF15" s="188">
        <f>V15-43</f>
        <v>45768</v>
      </c>
      <c r="AG15" s="188">
        <f>AF15+7</f>
        <v>45775</v>
      </c>
      <c r="AH15" s="188">
        <f>V15-43</f>
        <v>45768</v>
      </c>
      <c r="AI15" s="188">
        <f>AH15+7</f>
        <v>45775</v>
      </c>
      <c r="AJ15" s="186">
        <f>V15-36</f>
        <v>45775</v>
      </c>
      <c r="AK15" s="185">
        <f>V15-44</f>
        <v>45767</v>
      </c>
      <c r="AL15" s="188">
        <f>AK15+7</f>
        <v>45774</v>
      </c>
      <c r="AM15" s="188">
        <f>V15-37</f>
        <v>45774</v>
      </c>
      <c r="AN15" s="188">
        <f>AM15+7</f>
        <v>45781</v>
      </c>
      <c r="AO15" s="188">
        <f>V15-30</f>
        <v>45781</v>
      </c>
      <c r="AP15" s="186">
        <f>AO15+7</f>
        <v>45788</v>
      </c>
      <c r="AQ15" s="187">
        <f>V15-23</f>
        <v>45788</v>
      </c>
      <c r="AR15" s="186">
        <f>AQ15+2</f>
        <v>45790</v>
      </c>
      <c r="AS15" s="189">
        <f>V15-21</f>
        <v>45790</v>
      </c>
      <c r="AT15" s="189">
        <f>V15-21</f>
        <v>45790</v>
      </c>
      <c r="AU15" s="187">
        <f>V15-14</f>
        <v>45797</v>
      </c>
      <c r="AV15" s="188">
        <f>AU15+7</f>
        <v>45804</v>
      </c>
      <c r="AW15" s="188">
        <f>V15-14</f>
        <v>45797</v>
      </c>
      <c r="AX15" s="188">
        <f>AW15+7</f>
        <v>45804</v>
      </c>
      <c r="AY15" s="186">
        <f>V15-7</f>
        <v>45804</v>
      </c>
      <c r="AZ15" s="187">
        <f>V15-7</f>
        <v>45804</v>
      </c>
      <c r="BA15" s="186">
        <f>AZ15+2</f>
        <v>45806</v>
      </c>
      <c r="BB15" s="187">
        <f>V15-30</f>
        <v>45781</v>
      </c>
      <c r="BC15" s="188">
        <f>V15-15</f>
        <v>45796</v>
      </c>
      <c r="BD15" s="188"/>
      <c r="BE15" s="186"/>
      <c r="BF15" s="187">
        <f>V15+2</f>
        <v>45813</v>
      </c>
      <c r="BG15" s="186">
        <f>V15+5</f>
        <v>45816</v>
      </c>
      <c r="BH15" s="177"/>
    </row>
    <row r="16" spans="1:60" ht="76.5" customHeight="1" thickBot="1">
      <c r="A16" s="221" t="s">
        <v>122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2"/>
      <c r="W16" s="181"/>
      <c r="X16" s="182"/>
      <c r="Y16" s="183"/>
      <c r="Z16" s="184"/>
      <c r="AA16" s="223"/>
      <c r="AB16" s="224"/>
      <c r="AC16" s="225"/>
      <c r="AD16" s="224"/>
      <c r="AE16" s="225"/>
      <c r="AF16" s="226"/>
      <c r="AG16" s="226"/>
      <c r="AH16" s="226"/>
      <c r="AI16" s="226"/>
      <c r="AJ16" s="224"/>
      <c r="AK16" s="223"/>
      <c r="AL16" s="226"/>
      <c r="AM16" s="226"/>
      <c r="AN16" s="226"/>
      <c r="AO16" s="226"/>
      <c r="AP16" s="224"/>
      <c r="AQ16" s="225"/>
      <c r="AR16" s="227"/>
      <c r="AS16" s="228"/>
      <c r="AT16" s="229"/>
      <c r="AU16" s="225"/>
      <c r="AV16" s="226"/>
      <c r="AW16" s="226"/>
      <c r="AX16" s="226"/>
      <c r="AY16" s="224"/>
      <c r="AZ16" s="225"/>
      <c r="BA16" s="224"/>
      <c r="BB16" s="225"/>
      <c r="BC16" s="226"/>
      <c r="BD16" s="226"/>
      <c r="BE16" s="224"/>
      <c r="BF16" s="225"/>
      <c r="BG16" s="224"/>
      <c r="BH16" s="230"/>
    </row>
    <row r="17" spans="1:60" ht="22.5" customHeight="1" thickBot="1">
      <c r="S17" s="206"/>
      <c r="T17" s="206"/>
      <c r="U17" s="206"/>
      <c r="V17" s="207"/>
      <c r="W17" s="207"/>
      <c r="X17" s="208"/>
      <c r="Y17" s="209"/>
      <c r="Z17" s="210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8"/>
      <c r="BA17" s="208"/>
      <c r="BB17" s="208"/>
      <c r="BC17" s="208"/>
      <c r="BD17" s="208"/>
      <c r="BE17" s="208"/>
      <c r="BF17" s="208"/>
      <c r="BG17" s="208"/>
      <c r="BH17" s="211"/>
    </row>
    <row r="18" spans="1:60" ht="68.25" customHeight="1">
      <c r="S18" s="195" t="s">
        <v>116</v>
      </c>
      <c r="T18" s="161" t="s">
        <v>107</v>
      </c>
      <c r="U18" s="163" t="s">
        <v>108</v>
      </c>
      <c r="V18" s="165"/>
      <c r="AA18" s="167" t="s">
        <v>109</v>
      </c>
      <c r="AB18" s="168" t="s">
        <v>76</v>
      </c>
      <c r="AC18" s="169" t="s">
        <v>109</v>
      </c>
      <c r="AD18" s="168" t="s">
        <v>73</v>
      </c>
      <c r="AE18" s="169" t="s">
        <v>109</v>
      </c>
      <c r="AF18" s="170" t="s">
        <v>85</v>
      </c>
      <c r="AG18" s="170" t="s">
        <v>117</v>
      </c>
      <c r="AH18" s="170" t="s">
        <v>110</v>
      </c>
      <c r="AI18" s="170" t="s">
        <v>81</v>
      </c>
      <c r="AJ18" s="168" t="s">
        <v>111</v>
      </c>
      <c r="AK18" s="169" t="s">
        <v>89</v>
      </c>
      <c r="AL18" s="170" t="s">
        <v>73</v>
      </c>
      <c r="AM18" s="170" t="s">
        <v>89</v>
      </c>
      <c r="AN18" s="170" t="s">
        <v>112</v>
      </c>
      <c r="AO18" s="170" t="s">
        <v>113</v>
      </c>
      <c r="AP18" s="168" t="s">
        <v>114</v>
      </c>
      <c r="AQ18" s="169" t="s">
        <v>105</v>
      </c>
      <c r="AR18" s="168" t="s">
        <v>106</v>
      </c>
      <c r="AS18" s="172" t="s">
        <v>86</v>
      </c>
      <c r="AT18" s="172" t="s">
        <v>86</v>
      </c>
      <c r="AU18" s="169" t="s">
        <v>87</v>
      </c>
      <c r="AV18" s="170" t="s">
        <v>73</v>
      </c>
      <c r="AW18" s="170" t="s">
        <v>87</v>
      </c>
      <c r="AX18" s="170" t="s">
        <v>71</v>
      </c>
      <c r="AY18" s="168" t="s">
        <v>88</v>
      </c>
      <c r="AZ18" s="169" t="s">
        <v>88</v>
      </c>
      <c r="BA18" s="168" t="s">
        <v>92</v>
      </c>
      <c r="BB18" s="169" t="s">
        <v>89</v>
      </c>
      <c r="BC18" s="170" t="s">
        <v>124</v>
      </c>
      <c r="BD18" s="170"/>
      <c r="BE18" s="168"/>
      <c r="BF18" s="169" t="s">
        <v>90</v>
      </c>
      <c r="BG18" s="168" t="s">
        <v>91</v>
      </c>
      <c r="BH18" s="176"/>
    </row>
    <row r="19" spans="1:60" ht="34.5" customHeight="1" thickBot="1">
      <c r="S19" s="194"/>
      <c r="T19" s="178" t="s">
        <v>67</v>
      </c>
      <c r="U19" s="179" t="s">
        <v>68</v>
      </c>
      <c r="V19" s="180">
        <v>45811</v>
      </c>
      <c r="W19" s="181"/>
      <c r="X19" s="182"/>
      <c r="Y19" s="183"/>
      <c r="Z19" s="184"/>
      <c r="AA19" s="185">
        <f>V19-30</f>
        <v>45781</v>
      </c>
      <c r="AB19" s="186">
        <f>AA19+7</f>
        <v>45788</v>
      </c>
      <c r="AC19" s="187">
        <f>V19-30</f>
        <v>45781</v>
      </c>
      <c r="AD19" s="186">
        <f>AC19+7</f>
        <v>45788</v>
      </c>
      <c r="AE19" s="187">
        <f>V19-30</f>
        <v>45781</v>
      </c>
      <c r="AF19" s="188">
        <f>V19-29</f>
        <v>45782</v>
      </c>
      <c r="AG19" s="188">
        <f>AF19+7</f>
        <v>45789</v>
      </c>
      <c r="AH19" s="188">
        <f>V19-29</f>
        <v>45782</v>
      </c>
      <c r="AI19" s="188">
        <f>AH19+7</f>
        <v>45789</v>
      </c>
      <c r="AJ19" s="186">
        <f>V19-22</f>
        <v>45789</v>
      </c>
      <c r="AK19" s="185">
        <f>V19-30</f>
        <v>45781</v>
      </c>
      <c r="AL19" s="188">
        <f>AK19+7</f>
        <v>45788</v>
      </c>
      <c r="AM19" s="188">
        <f>V19-30</f>
        <v>45781</v>
      </c>
      <c r="AN19" s="188">
        <f>AM19+7</f>
        <v>45788</v>
      </c>
      <c r="AO19" s="188">
        <f>V19-26</f>
        <v>45785</v>
      </c>
      <c r="AP19" s="186">
        <f>AO19+7</f>
        <v>45792</v>
      </c>
      <c r="AQ19" s="187">
        <f>V19-23</f>
        <v>45788</v>
      </c>
      <c r="AR19" s="186">
        <f>AQ19+2</f>
        <v>45790</v>
      </c>
      <c r="AS19" s="189">
        <f>V19-21</f>
        <v>45790</v>
      </c>
      <c r="AT19" s="189">
        <f>V19-21</f>
        <v>45790</v>
      </c>
      <c r="AU19" s="187">
        <f>V19-14</f>
        <v>45797</v>
      </c>
      <c r="AV19" s="188">
        <f>AU19+7</f>
        <v>45804</v>
      </c>
      <c r="AW19" s="188">
        <f>V19-14</f>
        <v>45797</v>
      </c>
      <c r="AX19" s="188">
        <f>AW19+7</f>
        <v>45804</v>
      </c>
      <c r="AY19" s="186">
        <f>V19-7</f>
        <v>45804</v>
      </c>
      <c r="AZ19" s="187">
        <f>V19-7</f>
        <v>45804</v>
      </c>
      <c r="BA19" s="186">
        <f>AZ19+2</f>
        <v>45806</v>
      </c>
      <c r="BB19" s="187">
        <f>V19-30</f>
        <v>45781</v>
      </c>
      <c r="BC19" s="188">
        <f>V19-15</f>
        <v>45796</v>
      </c>
      <c r="BD19" s="188"/>
      <c r="BE19" s="186"/>
      <c r="BF19" s="187">
        <f>V19+2</f>
        <v>45813</v>
      </c>
      <c r="BG19" s="186">
        <f>V19+5</f>
        <v>45816</v>
      </c>
      <c r="BH19" s="177"/>
    </row>
    <row r="20" spans="1:60" ht="76.5" customHeight="1" thickBot="1">
      <c r="A20" s="221" t="s">
        <v>122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2"/>
      <c r="W20" s="181"/>
      <c r="X20" s="182"/>
      <c r="Y20" s="183"/>
      <c r="Z20" s="184"/>
      <c r="AA20" s="223"/>
      <c r="AB20" s="224"/>
      <c r="AC20" s="225"/>
      <c r="AD20" s="224"/>
      <c r="AE20" s="225"/>
      <c r="AF20" s="226"/>
      <c r="AG20" s="226"/>
      <c r="AH20" s="226"/>
      <c r="AI20" s="226"/>
      <c r="AJ20" s="224"/>
      <c r="AK20" s="223"/>
      <c r="AL20" s="226"/>
      <c r="AM20" s="226"/>
      <c r="AN20" s="226"/>
      <c r="AO20" s="226"/>
      <c r="AP20" s="224"/>
      <c r="AQ20" s="225"/>
      <c r="AR20" s="227"/>
      <c r="AS20" s="228"/>
      <c r="AT20" s="229"/>
      <c r="AU20" s="225"/>
      <c r="AV20" s="226"/>
      <c r="AW20" s="226"/>
      <c r="AX20" s="226"/>
      <c r="AY20" s="224"/>
      <c r="AZ20" s="225"/>
      <c r="BA20" s="224"/>
      <c r="BB20" s="225"/>
      <c r="BC20" s="226"/>
      <c r="BD20" s="226"/>
      <c r="BE20" s="224"/>
      <c r="BF20" s="225"/>
      <c r="BG20" s="224"/>
      <c r="BH20" s="230"/>
    </row>
    <row r="21" spans="1:60" ht="22.5" customHeight="1" thickBot="1">
      <c r="S21" s="206"/>
      <c r="T21" s="206"/>
      <c r="U21" s="206"/>
      <c r="V21" s="207"/>
      <c r="W21" s="207"/>
      <c r="X21" s="208"/>
      <c r="Y21" s="209"/>
      <c r="Z21" s="210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8"/>
      <c r="BB21" s="208"/>
      <c r="BC21" s="208"/>
      <c r="BD21" s="208"/>
      <c r="BE21" s="208"/>
      <c r="BF21" s="208"/>
      <c r="BG21" s="208"/>
      <c r="BH21" s="211"/>
    </row>
    <row r="22" spans="1:60" ht="68.25" customHeight="1">
      <c r="S22" s="195" t="s">
        <v>63</v>
      </c>
      <c r="T22" s="161" t="s">
        <v>118</v>
      </c>
      <c r="U22" s="163" t="s">
        <v>119</v>
      </c>
      <c r="V22" s="165"/>
      <c r="AA22" s="167" t="s">
        <v>45</v>
      </c>
      <c r="AB22" s="168" t="s">
        <v>45</v>
      </c>
      <c r="AC22" s="169" t="s">
        <v>120</v>
      </c>
      <c r="AD22" s="168" t="s">
        <v>73</v>
      </c>
      <c r="AE22" s="169" t="s">
        <v>45</v>
      </c>
      <c r="AF22" s="170" t="s">
        <v>45</v>
      </c>
      <c r="AG22" s="170" t="s">
        <v>45</v>
      </c>
      <c r="AH22" s="170" t="s">
        <v>45</v>
      </c>
      <c r="AI22" s="170" t="s">
        <v>45</v>
      </c>
      <c r="AJ22" s="168" t="s">
        <v>45</v>
      </c>
      <c r="AK22" s="169" t="s">
        <v>45</v>
      </c>
      <c r="AL22" s="170" t="s">
        <v>45</v>
      </c>
      <c r="AM22" s="170" t="s">
        <v>45</v>
      </c>
      <c r="AN22" s="170" t="s">
        <v>45</v>
      </c>
      <c r="AO22" s="170" t="s">
        <v>121</v>
      </c>
      <c r="AP22" s="168" t="s">
        <v>114</v>
      </c>
      <c r="AQ22" s="169" t="s">
        <v>45</v>
      </c>
      <c r="AR22" s="168" t="s">
        <v>45</v>
      </c>
      <c r="AS22" s="172" t="s">
        <v>45</v>
      </c>
      <c r="AT22" s="172" t="s">
        <v>86</v>
      </c>
      <c r="AU22" s="169" t="s">
        <v>87</v>
      </c>
      <c r="AV22" s="170" t="s">
        <v>73</v>
      </c>
      <c r="AW22" s="170" t="s">
        <v>87</v>
      </c>
      <c r="AX22" s="170" t="s">
        <v>71</v>
      </c>
      <c r="AY22" s="168" t="s">
        <v>88</v>
      </c>
      <c r="AZ22" s="169" t="s">
        <v>88</v>
      </c>
      <c r="BA22" s="168" t="s">
        <v>92</v>
      </c>
      <c r="BB22" s="169" t="s">
        <v>89</v>
      </c>
      <c r="BC22" s="170" t="s">
        <v>124</v>
      </c>
      <c r="BD22" s="170"/>
      <c r="BE22" s="168"/>
      <c r="BF22" s="169" t="s">
        <v>90</v>
      </c>
      <c r="BG22" s="168" t="s">
        <v>91</v>
      </c>
      <c r="BH22" s="176"/>
    </row>
    <row r="23" spans="1:60" ht="34.5" customHeight="1" thickBot="1">
      <c r="S23" s="194"/>
      <c r="T23" s="178" t="s">
        <v>67</v>
      </c>
      <c r="U23" s="179" t="s">
        <v>68</v>
      </c>
      <c r="V23" s="180">
        <v>45811</v>
      </c>
      <c r="W23" s="181"/>
      <c r="X23" s="182"/>
      <c r="Y23" s="183"/>
      <c r="Z23" s="184"/>
      <c r="AA23" s="185">
        <f>V23-30</f>
        <v>45781</v>
      </c>
      <c r="AB23" s="186">
        <f>AA23+7</f>
        <v>45788</v>
      </c>
      <c r="AC23" s="187">
        <f>V23-30</f>
        <v>45781</v>
      </c>
      <c r="AD23" s="186">
        <f>AC23+7</f>
        <v>45788</v>
      </c>
      <c r="AE23" s="187">
        <f>V23-30</f>
        <v>45781</v>
      </c>
      <c r="AF23" s="188">
        <f>V23-29</f>
        <v>45782</v>
      </c>
      <c r="AG23" s="188">
        <f>AF23+7</f>
        <v>45789</v>
      </c>
      <c r="AH23" s="188">
        <f>V23-29</f>
        <v>45782</v>
      </c>
      <c r="AI23" s="188">
        <f>AH23+7</f>
        <v>45789</v>
      </c>
      <c r="AJ23" s="186">
        <f>V23-22</f>
        <v>45789</v>
      </c>
      <c r="AK23" s="185">
        <f>V23-30</f>
        <v>45781</v>
      </c>
      <c r="AL23" s="188">
        <f>AK23+7</f>
        <v>45788</v>
      </c>
      <c r="AM23" s="188">
        <f>V23-30</f>
        <v>45781</v>
      </c>
      <c r="AN23" s="188">
        <f>AM23+7</f>
        <v>45788</v>
      </c>
      <c r="AO23" s="188">
        <f>V23-26</f>
        <v>45785</v>
      </c>
      <c r="AP23" s="186">
        <f>AO23+7</f>
        <v>45792</v>
      </c>
      <c r="AQ23" s="187">
        <f>V23-23</f>
        <v>45788</v>
      </c>
      <c r="AR23" s="186">
        <f>AQ23+2</f>
        <v>45790</v>
      </c>
      <c r="AS23" s="189">
        <f>V23-21</f>
        <v>45790</v>
      </c>
      <c r="AT23" s="189">
        <f>V23-21</f>
        <v>45790</v>
      </c>
      <c r="AU23" s="187">
        <f>V23-14</f>
        <v>45797</v>
      </c>
      <c r="AV23" s="188">
        <f>AU23+7</f>
        <v>45804</v>
      </c>
      <c r="AW23" s="188">
        <f>V23-14</f>
        <v>45797</v>
      </c>
      <c r="AX23" s="188">
        <f>AW23+7</f>
        <v>45804</v>
      </c>
      <c r="AY23" s="186">
        <f>V23-7</f>
        <v>45804</v>
      </c>
      <c r="AZ23" s="187">
        <f>V23-7</f>
        <v>45804</v>
      </c>
      <c r="BA23" s="186">
        <f>AZ23+2</f>
        <v>45806</v>
      </c>
      <c r="BB23" s="187">
        <f>V23-30</f>
        <v>45781</v>
      </c>
      <c r="BC23" s="188">
        <f>V23-15</f>
        <v>45796</v>
      </c>
      <c r="BD23" s="188"/>
      <c r="BE23" s="186"/>
      <c r="BF23" s="187">
        <f>V23+2</f>
        <v>45813</v>
      </c>
      <c r="BG23" s="186">
        <f>V23+5</f>
        <v>45816</v>
      </c>
      <c r="BH23" s="177"/>
    </row>
    <row r="24" spans="1:60" ht="76.5" customHeight="1" thickBot="1">
      <c r="A24" s="221" t="s">
        <v>122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2"/>
      <c r="W24" s="181"/>
      <c r="X24" s="182"/>
      <c r="Y24" s="183"/>
      <c r="Z24" s="184"/>
      <c r="AA24" s="223"/>
      <c r="AB24" s="224"/>
      <c r="AC24" s="225"/>
      <c r="AD24" s="224"/>
      <c r="AE24" s="225"/>
      <c r="AF24" s="226"/>
      <c r="AG24" s="226"/>
      <c r="AH24" s="226"/>
      <c r="AI24" s="226"/>
      <c r="AJ24" s="224"/>
      <c r="AK24" s="223"/>
      <c r="AL24" s="226"/>
      <c r="AM24" s="226"/>
      <c r="AN24" s="226"/>
      <c r="AO24" s="226"/>
      <c r="AP24" s="224"/>
      <c r="AQ24" s="225"/>
      <c r="AR24" s="227"/>
      <c r="AS24" s="228"/>
      <c r="AT24" s="229"/>
      <c r="AU24" s="225"/>
      <c r="AV24" s="226"/>
      <c r="AW24" s="226"/>
      <c r="AX24" s="226"/>
      <c r="AY24" s="224"/>
      <c r="AZ24" s="225"/>
      <c r="BA24" s="224"/>
      <c r="BB24" s="225"/>
      <c r="BC24" s="226"/>
      <c r="BD24" s="226"/>
      <c r="BE24" s="224"/>
      <c r="BF24" s="225"/>
      <c r="BG24" s="224"/>
      <c r="BH24" s="230"/>
    </row>
    <row r="25" spans="1:60" ht="22.5" customHeight="1" thickBot="1">
      <c r="S25" s="206"/>
      <c r="T25" s="206"/>
      <c r="U25" s="206"/>
      <c r="V25" s="207"/>
      <c r="W25" s="207"/>
      <c r="X25" s="208"/>
      <c r="Y25" s="209"/>
      <c r="Z25" s="210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H25" s="211"/>
    </row>
    <row r="26" spans="1:60">
      <c r="S26" s="198" t="s">
        <v>123</v>
      </c>
      <c r="T26" s="198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  <c r="AX26" s="231"/>
      <c r="AY26" s="231"/>
      <c r="AZ26" s="231"/>
      <c r="BA26" s="231"/>
      <c r="BB26" s="231"/>
      <c r="BC26" s="231"/>
      <c r="BD26" s="231"/>
      <c r="BE26" s="231"/>
      <c r="BF26" s="231"/>
      <c r="BG26" s="231"/>
      <c r="BH26" s="231"/>
    </row>
    <row r="27" spans="1:60">
      <c r="S27" s="197"/>
      <c r="T27" s="197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  <c r="AP27" s="232"/>
      <c r="AQ27" s="232"/>
      <c r="AR27" s="232"/>
      <c r="AS27" s="232"/>
      <c r="AT27" s="232"/>
      <c r="AU27" s="232"/>
      <c r="AV27" s="232"/>
      <c r="AW27" s="232"/>
      <c r="AX27" s="232"/>
      <c r="AY27" s="232"/>
      <c r="AZ27" s="232"/>
      <c r="BA27" s="232"/>
      <c r="BB27" s="232"/>
      <c r="BC27" s="232"/>
      <c r="BD27" s="232"/>
      <c r="BE27" s="232"/>
      <c r="BF27" s="232"/>
      <c r="BG27" s="232"/>
      <c r="BH27" s="232"/>
    </row>
    <row r="28" spans="1:60">
      <c r="S28" s="197"/>
      <c r="T28" s="197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2"/>
      <c r="AX28" s="232"/>
      <c r="AY28" s="232"/>
      <c r="AZ28" s="232"/>
      <c r="BA28" s="232"/>
      <c r="BB28" s="232"/>
      <c r="BC28" s="232"/>
      <c r="BD28" s="232"/>
      <c r="BE28" s="232"/>
      <c r="BF28" s="232"/>
      <c r="BG28" s="232"/>
      <c r="BH28" s="232"/>
    </row>
    <row r="29" spans="1:60">
      <c r="S29" s="197"/>
      <c r="T29" s="197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  <c r="AN29" s="232"/>
      <c r="AO29" s="232"/>
      <c r="AP29" s="232"/>
      <c r="AQ29" s="232"/>
      <c r="AR29" s="232"/>
      <c r="AS29" s="232"/>
      <c r="AT29" s="232"/>
      <c r="AU29" s="232"/>
      <c r="AV29" s="232"/>
      <c r="AW29" s="232"/>
      <c r="AX29" s="232"/>
      <c r="AY29" s="232"/>
      <c r="AZ29" s="232"/>
      <c r="BA29" s="232"/>
      <c r="BB29" s="232"/>
      <c r="BC29" s="232"/>
      <c r="BD29" s="232"/>
      <c r="BE29" s="232"/>
      <c r="BF29" s="232"/>
      <c r="BG29" s="232"/>
      <c r="BH29" s="232"/>
    </row>
    <row r="30" spans="1:60">
      <c r="S30" s="197"/>
      <c r="T30" s="197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</row>
    <row r="31" spans="1:60">
      <c r="AA31" s="27"/>
      <c r="AB31" s="27"/>
      <c r="AC31" s="27"/>
      <c r="AD31" s="27"/>
      <c r="AH31" s="27"/>
      <c r="AP31" s="27"/>
      <c r="AS31" s="27"/>
      <c r="AU31" s="27"/>
      <c r="AY31" s="27"/>
      <c r="AZ31" s="27"/>
      <c r="BA31" s="27"/>
      <c r="BB31" s="27"/>
      <c r="BC31" s="27"/>
      <c r="BE31" s="156"/>
    </row>
    <row r="32" spans="1:60">
      <c r="AA32" s="27"/>
      <c r="AB32" s="27"/>
      <c r="AC32" s="27"/>
      <c r="AD32" s="27"/>
      <c r="AH32" s="27"/>
      <c r="AP32" s="27"/>
      <c r="AS32" s="27"/>
      <c r="AU32" s="27"/>
      <c r="AY32" s="27"/>
      <c r="AZ32" s="27"/>
      <c r="BA32" s="27"/>
      <c r="BB32" s="27"/>
      <c r="BC32" s="27"/>
      <c r="BE32" s="156"/>
    </row>
    <row r="33" spans="27:57">
      <c r="AA33" s="27"/>
      <c r="AB33" s="27"/>
      <c r="AC33" s="27"/>
      <c r="AD33" s="27"/>
      <c r="AH33" s="27"/>
      <c r="AP33" s="27"/>
      <c r="AS33" s="27"/>
      <c r="AU33" s="27"/>
      <c r="AY33" s="27"/>
      <c r="AZ33" s="27"/>
      <c r="BA33" s="27"/>
      <c r="BB33" s="27"/>
      <c r="BC33" s="27"/>
      <c r="BE33" s="156"/>
    </row>
    <row r="34" spans="27:57">
      <c r="AA34" s="27"/>
      <c r="AB34" s="27"/>
      <c r="AC34" s="27"/>
      <c r="AD34" s="27"/>
      <c r="AH34" s="27"/>
      <c r="AP34" s="27"/>
      <c r="AS34" s="27"/>
      <c r="AU34" s="27"/>
      <c r="AY34" s="27"/>
      <c r="AZ34" s="27"/>
      <c r="BA34" s="27"/>
      <c r="BB34" s="27"/>
      <c r="BC34" s="27"/>
      <c r="BE34" s="156"/>
    </row>
    <row r="35" spans="27:57">
      <c r="AA35" s="27"/>
      <c r="AB35" s="27"/>
      <c r="AC35" s="27"/>
      <c r="AD35" s="27"/>
      <c r="AH35" s="27"/>
      <c r="AP35" s="27"/>
      <c r="AS35" s="27"/>
      <c r="AU35" s="27"/>
      <c r="AY35" s="27"/>
      <c r="AZ35" s="27"/>
      <c r="BA35" s="27"/>
      <c r="BB35" s="27"/>
      <c r="BC35" s="27"/>
      <c r="BE35" s="156"/>
    </row>
    <row r="36" spans="27:57">
      <c r="AA36" s="27"/>
      <c r="AB36" s="27"/>
      <c r="AC36" s="27"/>
      <c r="AD36" s="27"/>
      <c r="AH36" s="27"/>
      <c r="AP36" s="27"/>
      <c r="AS36" s="27"/>
      <c r="AU36" s="27"/>
      <c r="AY36" s="27"/>
      <c r="AZ36" s="27"/>
      <c r="BA36" s="27"/>
      <c r="BB36" s="27"/>
      <c r="BC36" s="27"/>
      <c r="BE36" s="156"/>
    </row>
    <row r="37" spans="27:57">
      <c r="AA37" s="27"/>
      <c r="AB37" s="27"/>
      <c r="AC37" s="27"/>
      <c r="AD37" s="27"/>
      <c r="AH37" s="27"/>
      <c r="AP37" s="27"/>
      <c r="AS37" s="27"/>
      <c r="AU37" s="27"/>
      <c r="AY37" s="27"/>
      <c r="AZ37" s="27"/>
      <c r="BA37" s="27"/>
      <c r="BB37" s="27"/>
      <c r="BC37" s="27"/>
      <c r="BE37" s="156"/>
    </row>
    <row r="38" spans="27:57">
      <c r="AA38" s="27"/>
      <c r="AB38" s="27"/>
      <c r="AC38" s="27"/>
      <c r="AD38" s="27"/>
      <c r="AH38" s="27"/>
      <c r="AP38" s="27"/>
      <c r="AS38" s="27"/>
      <c r="AU38" s="27"/>
      <c r="AY38" s="27"/>
      <c r="AZ38" s="27"/>
      <c r="BA38" s="27"/>
      <c r="BB38" s="27"/>
      <c r="BC38" s="27"/>
      <c r="BE38" s="156"/>
    </row>
    <row r="39" spans="27:57">
      <c r="AA39" s="27"/>
      <c r="AB39" s="27"/>
      <c r="AC39" s="27"/>
      <c r="AD39" s="27"/>
      <c r="AH39" s="27"/>
      <c r="AP39" s="27"/>
      <c r="AS39" s="27"/>
      <c r="AU39" s="27"/>
      <c r="AY39" s="27"/>
      <c r="AZ39" s="27"/>
      <c r="BA39" s="27"/>
      <c r="BB39" s="27"/>
      <c r="BC39" s="27"/>
      <c r="BE39" s="156"/>
    </row>
    <row r="40" spans="27:57">
      <c r="AA40" s="27"/>
      <c r="AB40" s="27"/>
      <c r="AC40" s="27"/>
      <c r="AD40" s="27"/>
      <c r="AH40" s="27"/>
      <c r="AP40" s="27"/>
      <c r="AS40" s="27"/>
      <c r="AU40" s="27"/>
      <c r="AY40" s="27"/>
      <c r="AZ40" s="27"/>
      <c r="BA40" s="27"/>
      <c r="BB40" s="27"/>
      <c r="BC40" s="27"/>
      <c r="BE40" s="156"/>
    </row>
    <row r="41" spans="27:57">
      <c r="AA41" s="27"/>
      <c r="AB41" s="27"/>
      <c r="AC41" s="27"/>
      <c r="AD41" s="27"/>
      <c r="AH41" s="27"/>
      <c r="AP41" s="27"/>
      <c r="AS41" s="27"/>
      <c r="AU41" s="27"/>
      <c r="AY41" s="27"/>
      <c r="AZ41" s="27"/>
      <c r="BA41" s="27"/>
      <c r="BB41" s="27"/>
      <c r="BC41" s="27"/>
      <c r="BE41" s="156"/>
    </row>
    <row r="42" spans="27:57">
      <c r="AA42" s="27"/>
      <c r="AB42" s="27"/>
      <c r="AC42" s="27"/>
      <c r="AD42" s="27"/>
      <c r="AH42" s="27"/>
      <c r="AP42" s="27"/>
      <c r="AS42" s="27"/>
      <c r="AU42" s="27"/>
      <c r="AY42" s="27"/>
      <c r="AZ42" s="27"/>
      <c r="BA42" s="27"/>
      <c r="BB42" s="27"/>
      <c r="BC42" s="27"/>
      <c r="BE42" s="156"/>
    </row>
    <row r="43" spans="27:57">
      <c r="AA43" s="27"/>
      <c r="AB43" s="27"/>
      <c r="AC43" s="27"/>
      <c r="AD43" s="27"/>
      <c r="AH43" s="27"/>
      <c r="AP43" s="27"/>
      <c r="AS43" s="27"/>
      <c r="AU43" s="27"/>
      <c r="AY43" s="27"/>
      <c r="AZ43" s="27"/>
      <c r="BA43" s="27"/>
      <c r="BB43" s="27"/>
      <c r="BC43" s="27"/>
      <c r="BE43" s="156"/>
    </row>
    <row r="44" spans="27:57">
      <c r="AA44" s="27"/>
      <c r="AB44" s="27"/>
      <c r="AC44" s="27"/>
      <c r="AD44" s="27"/>
      <c r="AH44" s="27"/>
      <c r="AP44" s="27"/>
      <c r="AS44" s="27"/>
      <c r="AU44" s="27"/>
      <c r="AY44" s="27"/>
      <c r="AZ44" s="27"/>
      <c r="BA44" s="27"/>
      <c r="BB44" s="27"/>
      <c r="BC44" s="27"/>
      <c r="BE44" s="156"/>
    </row>
    <row r="45" spans="27:57">
      <c r="AA45" s="27"/>
      <c r="AB45" s="27"/>
      <c r="AC45" s="27"/>
      <c r="AD45" s="27"/>
      <c r="AH45" s="27"/>
      <c r="AP45" s="27"/>
      <c r="AS45" s="27"/>
      <c r="AU45" s="27"/>
      <c r="AY45" s="27"/>
      <c r="AZ45" s="27"/>
      <c r="BA45" s="27"/>
      <c r="BB45" s="27"/>
      <c r="BC45" s="27"/>
      <c r="BE45" s="156"/>
    </row>
    <row r="46" spans="27:57">
      <c r="AA46" s="27"/>
      <c r="AB46" s="27"/>
      <c r="AC46" s="27"/>
      <c r="AD46" s="27"/>
      <c r="AH46" s="27"/>
      <c r="AP46" s="27"/>
      <c r="AS46" s="27"/>
      <c r="AU46" s="27"/>
      <c r="AY46" s="27"/>
      <c r="AZ46" s="27"/>
      <c r="BA46" s="27"/>
      <c r="BB46" s="27"/>
      <c r="BC46" s="27"/>
      <c r="BE46" s="156"/>
    </row>
    <row r="47" spans="27:57">
      <c r="AA47" s="27"/>
      <c r="AB47" s="27"/>
      <c r="AC47" s="27"/>
      <c r="AD47" s="27"/>
      <c r="AH47" s="27"/>
      <c r="AP47" s="27"/>
      <c r="AS47" s="27"/>
      <c r="AU47" s="27"/>
      <c r="AY47" s="27"/>
      <c r="AZ47" s="27"/>
      <c r="BA47" s="27"/>
      <c r="BB47" s="27"/>
      <c r="BC47" s="27"/>
      <c r="BE47" s="156"/>
    </row>
    <row r="48" spans="27:57">
      <c r="AA48" s="27"/>
      <c r="AB48" s="27"/>
      <c r="AC48" s="27"/>
      <c r="AD48" s="27"/>
      <c r="AH48" s="27"/>
      <c r="AP48" s="27"/>
      <c r="AS48" s="27"/>
      <c r="AU48" s="27"/>
      <c r="AY48" s="27"/>
      <c r="AZ48" s="27"/>
      <c r="BA48" s="27"/>
      <c r="BB48" s="27"/>
      <c r="BC48" s="27"/>
      <c r="BE48" s="156"/>
    </row>
    <row r="49" spans="27:57">
      <c r="AA49" s="27"/>
      <c r="AB49" s="27"/>
      <c r="AC49" s="27"/>
      <c r="AD49" s="27"/>
      <c r="AH49" s="27"/>
      <c r="AP49" s="27"/>
      <c r="AS49" s="27"/>
      <c r="AU49" s="27"/>
      <c r="AY49" s="27"/>
      <c r="AZ49" s="27"/>
      <c r="BA49" s="27"/>
      <c r="BB49" s="27"/>
      <c r="BC49" s="27"/>
      <c r="BE49" s="156"/>
    </row>
    <row r="50" spans="27:57">
      <c r="AA50" s="27"/>
      <c r="AB50" s="27"/>
      <c r="AC50" s="27"/>
      <c r="AD50" s="27"/>
      <c r="AH50" s="27"/>
      <c r="AP50" s="27"/>
      <c r="AS50" s="27"/>
      <c r="AU50" s="27"/>
      <c r="AY50" s="27"/>
      <c r="AZ50" s="27"/>
      <c r="BA50" s="27"/>
      <c r="BB50" s="27"/>
      <c r="BC50" s="27"/>
      <c r="BE50" s="156"/>
    </row>
    <row r="51" spans="27:57">
      <c r="AA51" s="27"/>
      <c r="AB51" s="27"/>
      <c r="AC51" s="27"/>
      <c r="AD51" s="27"/>
      <c r="AH51" s="27"/>
      <c r="AP51" s="27"/>
      <c r="AS51" s="27"/>
      <c r="AU51" s="27"/>
      <c r="AY51" s="27"/>
      <c r="AZ51" s="27"/>
      <c r="BA51" s="27"/>
      <c r="BB51" s="27"/>
      <c r="BC51" s="27"/>
      <c r="BE51" s="156"/>
    </row>
    <row r="52" spans="27:57">
      <c r="AA52" s="27"/>
      <c r="AB52" s="27"/>
      <c r="AC52" s="27"/>
      <c r="AD52" s="27"/>
      <c r="AH52" s="27"/>
      <c r="AP52" s="27"/>
      <c r="AS52" s="27"/>
      <c r="AU52" s="27"/>
      <c r="AY52" s="27"/>
      <c r="AZ52" s="27"/>
      <c r="BA52" s="27"/>
      <c r="BB52" s="27"/>
      <c r="BC52" s="27"/>
      <c r="BE52" s="156"/>
    </row>
    <row r="53" spans="27:57">
      <c r="AA53" s="27"/>
      <c r="AB53" s="27"/>
      <c r="AC53" s="27"/>
      <c r="AD53" s="27"/>
      <c r="AH53" s="27"/>
      <c r="AP53" s="27"/>
      <c r="AS53" s="27"/>
      <c r="AU53" s="27"/>
      <c r="AY53" s="27"/>
      <c r="AZ53" s="27"/>
      <c r="BA53" s="27"/>
      <c r="BB53" s="27"/>
      <c r="BC53" s="27"/>
      <c r="BE53" s="156"/>
    </row>
    <row r="54" spans="27:57">
      <c r="AA54" s="27"/>
      <c r="AB54" s="27"/>
      <c r="AC54" s="27"/>
      <c r="AD54" s="27"/>
      <c r="AH54" s="27"/>
      <c r="AP54" s="27"/>
      <c r="AS54" s="27"/>
      <c r="AU54" s="27"/>
      <c r="AY54" s="27"/>
      <c r="AZ54" s="27"/>
      <c r="BA54" s="27"/>
      <c r="BB54" s="27"/>
      <c r="BC54" s="27"/>
      <c r="BE54" s="156"/>
    </row>
    <row r="55" spans="27:57">
      <c r="AA55" s="27"/>
      <c r="AB55" s="27"/>
      <c r="AC55" s="27"/>
      <c r="AD55" s="27"/>
      <c r="AH55" s="27"/>
      <c r="AP55" s="27"/>
      <c r="AS55" s="27"/>
      <c r="AU55" s="27"/>
      <c r="AY55" s="27"/>
      <c r="AZ55" s="27"/>
      <c r="BA55" s="27"/>
      <c r="BB55" s="27"/>
      <c r="BC55" s="27"/>
      <c r="BE55" s="156"/>
    </row>
    <row r="56" spans="27:57">
      <c r="AA56" s="27"/>
      <c r="AB56" s="27"/>
      <c r="AC56" s="27"/>
      <c r="AD56" s="27"/>
      <c r="AH56" s="27"/>
      <c r="AP56" s="27"/>
      <c r="AS56" s="27"/>
      <c r="AU56" s="27"/>
      <c r="AY56" s="27"/>
      <c r="AZ56" s="27"/>
      <c r="BA56" s="27"/>
      <c r="BB56" s="27"/>
      <c r="BC56" s="27"/>
      <c r="BE56" s="156"/>
    </row>
    <row r="57" spans="27:57">
      <c r="AA57" s="27"/>
      <c r="AB57" s="27"/>
      <c r="AC57" s="27"/>
      <c r="AD57" s="27"/>
      <c r="AH57" s="27"/>
      <c r="AP57" s="27"/>
      <c r="AS57" s="27"/>
      <c r="AU57" s="27"/>
      <c r="AY57" s="27"/>
      <c r="AZ57" s="27"/>
      <c r="BA57" s="27"/>
      <c r="BB57" s="27"/>
      <c r="BC57" s="27"/>
      <c r="BE57" s="156"/>
    </row>
    <row r="58" spans="27:57">
      <c r="AA58" s="27"/>
      <c r="AB58" s="27"/>
      <c r="AC58" s="27"/>
      <c r="AD58" s="27"/>
      <c r="AH58" s="27"/>
      <c r="AP58" s="27"/>
      <c r="AS58" s="27"/>
      <c r="AU58" s="27"/>
      <c r="AY58" s="27"/>
      <c r="AZ58" s="27"/>
      <c r="BA58" s="27"/>
      <c r="BB58" s="27"/>
      <c r="BC58" s="27"/>
      <c r="BE58" s="156"/>
    </row>
    <row r="59" spans="27:57">
      <c r="AA59" s="27"/>
      <c r="AB59" s="27"/>
      <c r="AC59" s="27"/>
      <c r="AD59" s="27"/>
      <c r="AH59" s="27"/>
      <c r="AP59" s="27"/>
      <c r="AS59" s="27"/>
      <c r="AU59" s="27"/>
      <c r="AY59" s="27"/>
      <c r="AZ59" s="27"/>
      <c r="BA59" s="27"/>
      <c r="BB59" s="27"/>
      <c r="BC59" s="27"/>
      <c r="BE59" s="156"/>
    </row>
    <row r="60" spans="27:57">
      <c r="AA60" s="27"/>
      <c r="AB60" s="27"/>
      <c r="AC60" s="27"/>
      <c r="AD60" s="27"/>
      <c r="AH60" s="27"/>
      <c r="AP60" s="27"/>
      <c r="AS60" s="27"/>
      <c r="AU60" s="27"/>
      <c r="AY60" s="27"/>
      <c r="AZ60" s="27"/>
      <c r="BA60" s="27"/>
      <c r="BB60" s="27"/>
      <c r="BC60" s="27"/>
      <c r="BE60" s="156"/>
    </row>
    <row r="61" spans="27:57">
      <c r="AA61" s="27"/>
      <c r="AB61" s="27"/>
      <c r="AC61" s="27"/>
      <c r="AD61" s="27"/>
      <c r="AH61" s="27"/>
      <c r="AP61" s="27"/>
      <c r="AS61" s="27"/>
      <c r="AU61" s="27"/>
      <c r="AY61" s="27"/>
      <c r="AZ61" s="27"/>
      <c r="BA61" s="27"/>
      <c r="BB61" s="27"/>
      <c r="BC61" s="27"/>
      <c r="BE61" s="156"/>
    </row>
    <row r="62" spans="27:57">
      <c r="AA62" s="27"/>
      <c r="AB62" s="27"/>
      <c r="AC62" s="27"/>
      <c r="AD62" s="27"/>
      <c r="AH62" s="27"/>
      <c r="AP62" s="27"/>
      <c r="AS62" s="27"/>
      <c r="AU62" s="27"/>
      <c r="AY62" s="27"/>
      <c r="AZ62" s="27"/>
      <c r="BA62" s="27"/>
      <c r="BB62" s="27"/>
      <c r="BC62" s="27"/>
      <c r="BE62" s="156"/>
    </row>
    <row r="63" spans="27:57">
      <c r="AA63" s="27"/>
      <c r="AB63" s="27"/>
      <c r="AC63" s="27"/>
      <c r="AD63" s="27"/>
      <c r="AH63" s="27"/>
      <c r="AP63" s="27"/>
      <c r="AS63" s="27"/>
      <c r="AU63" s="27"/>
      <c r="AY63" s="27"/>
      <c r="AZ63" s="27"/>
      <c r="BA63" s="27"/>
      <c r="BB63" s="27"/>
      <c r="BC63" s="27"/>
      <c r="BE63" s="156"/>
    </row>
    <row r="64" spans="27:57">
      <c r="AA64" s="27"/>
      <c r="AB64" s="27"/>
      <c r="AC64" s="27"/>
      <c r="AD64" s="27"/>
      <c r="AH64" s="27"/>
      <c r="AP64" s="27"/>
      <c r="AS64" s="27"/>
      <c r="AU64" s="27"/>
      <c r="AY64" s="27"/>
      <c r="AZ64" s="27"/>
      <c r="BA64" s="27"/>
      <c r="BB64" s="27"/>
      <c r="BC64" s="27"/>
      <c r="BE64" s="156"/>
    </row>
    <row r="65" spans="27:57">
      <c r="AA65" s="27"/>
      <c r="AB65" s="27"/>
      <c r="AC65" s="27"/>
      <c r="AD65" s="27"/>
      <c r="AH65" s="27"/>
      <c r="AP65" s="27"/>
      <c r="AS65" s="27"/>
      <c r="AU65" s="27"/>
      <c r="AY65" s="27"/>
      <c r="AZ65" s="27"/>
      <c r="BA65" s="27"/>
      <c r="BB65" s="27"/>
      <c r="BC65" s="27"/>
      <c r="BE65" s="156"/>
    </row>
    <row r="66" spans="27:57">
      <c r="AA66" s="27"/>
      <c r="AB66" s="27"/>
      <c r="AC66" s="27"/>
      <c r="AD66" s="27"/>
      <c r="AH66" s="27"/>
      <c r="AP66" s="27"/>
      <c r="AS66" s="27"/>
      <c r="AU66" s="27"/>
      <c r="AY66" s="27"/>
      <c r="AZ66" s="27"/>
      <c r="BA66" s="27"/>
      <c r="BB66" s="27"/>
      <c r="BC66" s="27"/>
      <c r="BE66" s="156"/>
    </row>
    <row r="67" spans="27:57">
      <c r="AA67" s="27"/>
      <c r="AB67" s="27"/>
      <c r="AC67" s="27"/>
      <c r="AD67" s="27"/>
      <c r="AH67" s="27"/>
      <c r="AP67" s="27"/>
      <c r="AS67" s="27"/>
      <c r="AU67" s="27"/>
      <c r="AY67" s="27"/>
      <c r="AZ67" s="27"/>
      <c r="BA67" s="27"/>
      <c r="BB67" s="27"/>
      <c r="BC67" s="27"/>
      <c r="BE67" s="156"/>
    </row>
    <row r="68" spans="27:57">
      <c r="AA68" s="27"/>
      <c r="AB68" s="27"/>
      <c r="AC68" s="27"/>
      <c r="AD68" s="27"/>
      <c r="AH68" s="27"/>
      <c r="AP68" s="27"/>
      <c r="AS68" s="27"/>
      <c r="AU68" s="27"/>
      <c r="AY68" s="27"/>
      <c r="AZ68" s="27"/>
      <c r="BA68" s="27"/>
      <c r="BB68" s="27"/>
      <c r="BC68" s="27"/>
      <c r="BE68" s="156"/>
    </row>
    <row r="69" spans="27:57">
      <c r="AA69" s="27"/>
      <c r="AB69" s="27"/>
      <c r="AC69" s="27"/>
      <c r="AD69" s="27"/>
      <c r="AH69" s="27"/>
      <c r="AP69" s="27"/>
      <c r="AS69" s="27"/>
      <c r="AU69" s="27"/>
      <c r="AY69" s="27"/>
      <c r="AZ69" s="27"/>
      <c r="BA69" s="27"/>
      <c r="BB69" s="27"/>
      <c r="BC69" s="27"/>
      <c r="BE69" s="156"/>
    </row>
    <row r="70" spans="27:57">
      <c r="AA70" s="27"/>
      <c r="AB70" s="27"/>
      <c r="AC70" s="27"/>
      <c r="AD70" s="27"/>
      <c r="AH70" s="27"/>
      <c r="AP70" s="27"/>
      <c r="AS70" s="27"/>
      <c r="AU70" s="27"/>
      <c r="AY70" s="27"/>
      <c r="AZ70" s="27"/>
      <c r="BA70" s="27"/>
      <c r="BB70" s="27"/>
      <c r="BC70" s="27"/>
      <c r="BE70" s="156"/>
    </row>
    <row r="71" spans="27:57">
      <c r="AA71" s="27"/>
      <c r="AB71" s="27"/>
      <c r="AC71" s="27"/>
      <c r="AD71" s="27"/>
      <c r="AH71" s="27"/>
      <c r="AP71" s="27"/>
      <c r="AS71" s="27"/>
      <c r="AU71" s="27"/>
      <c r="AY71" s="27"/>
      <c r="AZ71" s="27"/>
      <c r="BA71" s="27"/>
      <c r="BB71" s="27"/>
      <c r="BC71" s="27"/>
      <c r="BE71" s="156"/>
    </row>
    <row r="72" spans="27:57">
      <c r="AA72" s="27"/>
      <c r="AB72" s="27"/>
      <c r="AC72" s="27"/>
      <c r="AD72" s="27"/>
      <c r="AH72" s="27"/>
      <c r="AP72" s="27"/>
      <c r="AS72" s="27"/>
      <c r="AU72" s="27"/>
      <c r="AY72" s="27"/>
      <c r="AZ72" s="27"/>
      <c r="BA72" s="27"/>
      <c r="BB72" s="27"/>
      <c r="BC72" s="27"/>
      <c r="BE72" s="156"/>
    </row>
    <row r="73" spans="27:57">
      <c r="AA73" s="27"/>
      <c r="AB73" s="27"/>
      <c r="AC73" s="27"/>
      <c r="AD73" s="27"/>
      <c r="AH73" s="27"/>
      <c r="AP73" s="27"/>
      <c r="AS73" s="27"/>
      <c r="AU73" s="27"/>
      <c r="AY73" s="27"/>
      <c r="AZ73" s="27"/>
      <c r="BA73" s="27"/>
      <c r="BB73" s="27"/>
      <c r="BC73" s="27"/>
      <c r="BE73" s="156"/>
    </row>
    <row r="74" spans="27:57">
      <c r="AA74" s="27"/>
      <c r="AB74" s="27"/>
      <c r="AC74" s="27"/>
      <c r="AD74" s="27"/>
      <c r="AH74" s="27"/>
      <c r="AP74" s="27"/>
      <c r="AS74" s="27"/>
      <c r="AU74" s="27"/>
      <c r="AY74" s="27"/>
      <c r="AZ74" s="27"/>
      <c r="BA74" s="27"/>
      <c r="BB74" s="27"/>
      <c r="BC74" s="27"/>
      <c r="BE74" s="156"/>
    </row>
    <row r="75" spans="27:57">
      <c r="AA75" s="27"/>
      <c r="AB75" s="27"/>
      <c r="AC75" s="27"/>
      <c r="AD75" s="27"/>
      <c r="AH75" s="27"/>
      <c r="AP75" s="27"/>
      <c r="AS75" s="27"/>
      <c r="AU75" s="27"/>
      <c r="AY75" s="27"/>
      <c r="AZ75" s="27"/>
      <c r="BA75" s="27"/>
      <c r="BB75" s="27"/>
      <c r="BC75" s="27"/>
      <c r="BE75" s="156"/>
    </row>
    <row r="76" spans="27:57">
      <c r="AA76" s="27"/>
      <c r="AB76" s="27"/>
      <c r="AC76" s="27"/>
      <c r="AD76" s="27"/>
      <c r="AH76" s="27"/>
      <c r="AP76" s="27"/>
      <c r="AS76" s="27"/>
      <c r="AU76" s="27"/>
      <c r="AY76" s="27"/>
      <c r="AZ76" s="27"/>
      <c r="BA76" s="27"/>
      <c r="BB76" s="27"/>
      <c r="BC76" s="27"/>
      <c r="BE76" s="156"/>
    </row>
    <row r="77" spans="27:57">
      <c r="AA77" s="27"/>
      <c r="AB77" s="27"/>
      <c r="AC77" s="27"/>
      <c r="AD77" s="27"/>
      <c r="AH77" s="27"/>
      <c r="AP77" s="27"/>
      <c r="AS77" s="27"/>
      <c r="AU77" s="27"/>
      <c r="AY77" s="27"/>
      <c r="AZ77" s="27"/>
      <c r="BA77" s="27"/>
      <c r="BB77" s="27"/>
      <c r="BC77" s="27"/>
      <c r="BE77" s="156"/>
    </row>
    <row r="78" spans="27:57">
      <c r="AA78" s="27"/>
      <c r="AB78" s="27"/>
      <c r="AC78" s="27"/>
      <c r="AD78" s="27"/>
      <c r="AH78" s="27"/>
      <c r="AP78" s="27"/>
      <c r="AS78" s="27"/>
      <c r="AU78" s="27"/>
      <c r="AY78" s="27"/>
      <c r="AZ78" s="27"/>
      <c r="BA78" s="27"/>
      <c r="BB78" s="27"/>
      <c r="BC78" s="27"/>
      <c r="BE78" s="156"/>
    </row>
    <row r="79" spans="27:57">
      <c r="AA79" s="27"/>
      <c r="AB79" s="27"/>
      <c r="AC79" s="27"/>
      <c r="AD79" s="27"/>
      <c r="AH79" s="27"/>
      <c r="AP79" s="27"/>
      <c r="AS79" s="27"/>
      <c r="AU79" s="27"/>
      <c r="AY79" s="27"/>
      <c r="AZ79" s="27"/>
      <c r="BA79" s="27"/>
      <c r="BB79" s="27"/>
      <c r="BC79" s="27"/>
      <c r="BE79" s="156"/>
    </row>
    <row r="80" spans="27:57">
      <c r="AA80" s="27"/>
      <c r="AB80" s="27"/>
      <c r="AC80" s="27"/>
      <c r="AD80" s="27"/>
      <c r="AH80" s="27"/>
      <c r="AP80" s="27"/>
      <c r="AS80" s="27"/>
      <c r="AU80" s="27"/>
      <c r="AY80" s="27"/>
      <c r="AZ80" s="27"/>
      <c r="BA80" s="27"/>
      <c r="BB80" s="27"/>
      <c r="BC80" s="27"/>
      <c r="BE80" s="156"/>
    </row>
    <row r="81" spans="27:57">
      <c r="AA81" s="27"/>
      <c r="AB81" s="27"/>
      <c r="AC81" s="27"/>
      <c r="AD81" s="27"/>
      <c r="AH81" s="27"/>
      <c r="AP81" s="27"/>
      <c r="AS81" s="27"/>
      <c r="AU81" s="27"/>
      <c r="AY81" s="27"/>
      <c r="AZ81" s="27"/>
      <c r="BA81" s="27"/>
      <c r="BB81" s="27"/>
      <c r="BC81" s="27"/>
      <c r="BE81" s="156"/>
    </row>
    <row r="82" spans="27:57">
      <c r="AA82" s="27"/>
      <c r="AB82" s="27"/>
      <c r="AC82" s="27"/>
      <c r="AD82" s="27"/>
      <c r="AH82" s="27"/>
      <c r="AP82" s="27"/>
      <c r="AS82" s="27"/>
      <c r="AU82" s="27"/>
      <c r="AY82" s="27"/>
      <c r="AZ82" s="27"/>
      <c r="BA82" s="27"/>
      <c r="BB82" s="27"/>
      <c r="BC82" s="27"/>
      <c r="BE82" s="156"/>
    </row>
    <row r="83" spans="27:57">
      <c r="AA83" s="27"/>
      <c r="AB83" s="27"/>
      <c r="AC83" s="27"/>
      <c r="AD83" s="27"/>
      <c r="AH83" s="27"/>
      <c r="AP83" s="27"/>
      <c r="AS83" s="27"/>
      <c r="AU83" s="27"/>
      <c r="AY83" s="27"/>
      <c r="AZ83" s="27"/>
      <c r="BA83" s="27"/>
      <c r="BB83" s="27"/>
      <c r="BC83" s="27"/>
      <c r="BE83" s="156"/>
    </row>
    <row r="84" spans="27:57">
      <c r="AA84" s="27"/>
      <c r="AB84" s="27"/>
      <c r="AC84" s="27"/>
      <c r="AD84" s="27"/>
      <c r="AH84" s="27"/>
      <c r="AP84" s="27"/>
      <c r="AS84" s="27"/>
      <c r="AU84" s="27"/>
      <c r="AY84" s="27"/>
      <c r="AZ84" s="27"/>
      <c r="BA84" s="27"/>
      <c r="BB84" s="27"/>
      <c r="BC84" s="27"/>
      <c r="BE84" s="156"/>
    </row>
    <row r="85" spans="27:57">
      <c r="AA85" s="27"/>
      <c r="AB85" s="27"/>
      <c r="AC85" s="27"/>
      <c r="AD85" s="27"/>
      <c r="AH85" s="27"/>
      <c r="AP85" s="27"/>
      <c r="AS85" s="27"/>
      <c r="AU85" s="27"/>
      <c r="AY85" s="27"/>
      <c r="AZ85" s="27"/>
      <c r="BA85" s="27"/>
      <c r="BB85" s="27"/>
      <c r="BC85" s="27"/>
      <c r="BE85" s="156"/>
    </row>
    <row r="86" spans="27:57">
      <c r="AA86" s="27"/>
      <c r="AB86" s="27"/>
      <c r="AC86" s="27"/>
      <c r="AD86" s="27"/>
      <c r="AH86" s="27"/>
      <c r="AP86" s="27"/>
      <c r="AS86" s="27"/>
      <c r="AU86" s="27"/>
      <c r="AY86" s="27"/>
      <c r="AZ86" s="27"/>
      <c r="BA86" s="27"/>
      <c r="BB86" s="27"/>
      <c r="BC86" s="27"/>
      <c r="BE86" s="156"/>
    </row>
    <row r="87" spans="27:57">
      <c r="AA87" s="27"/>
      <c r="AB87" s="27"/>
      <c r="AC87" s="27"/>
      <c r="AD87" s="27"/>
      <c r="AH87" s="27"/>
      <c r="AP87" s="27"/>
      <c r="AS87" s="27"/>
      <c r="AU87" s="27"/>
      <c r="AY87" s="27"/>
      <c r="AZ87" s="27"/>
      <c r="BA87" s="27"/>
      <c r="BB87" s="27"/>
      <c r="BC87" s="27"/>
      <c r="BE87" s="156"/>
    </row>
    <row r="88" spans="27:57">
      <c r="AA88" s="27"/>
      <c r="AB88" s="27"/>
      <c r="AC88" s="27"/>
      <c r="AD88" s="27"/>
      <c r="AH88" s="27"/>
      <c r="AP88" s="27"/>
      <c r="AS88" s="27"/>
      <c r="AU88" s="27"/>
      <c r="AY88" s="27"/>
      <c r="AZ88" s="27"/>
      <c r="BA88" s="27"/>
      <c r="BB88" s="27"/>
      <c r="BC88" s="27"/>
      <c r="BE88" s="156"/>
    </row>
    <row r="89" spans="27:57">
      <c r="AA89" s="27"/>
      <c r="AB89" s="27"/>
      <c r="AC89" s="27"/>
      <c r="AD89" s="27"/>
      <c r="AH89" s="27"/>
      <c r="AP89" s="27"/>
      <c r="AS89" s="27"/>
      <c r="AU89" s="27"/>
      <c r="AY89" s="27"/>
      <c r="AZ89" s="27"/>
      <c r="BA89" s="27"/>
      <c r="BB89" s="27"/>
      <c r="BC89" s="27"/>
      <c r="BE89" s="156"/>
    </row>
    <row r="90" spans="27:57">
      <c r="AA90" s="27"/>
      <c r="AB90" s="27"/>
      <c r="AC90" s="27"/>
      <c r="AD90" s="27"/>
      <c r="AH90" s="27"/>
      <c r="AP90" s="27"/>
      <c r="AS90" s="27"/>
      <c r="AU90" s="27"/>
      <c r="AY90" s="27"/>
      <c r="AZ90" s="27"/>
      <c r="BA90" s="27"/>
      <c r="BB90" s="27"/>
      <c r="BC90" s="27"/>
      <c r="BE90" s="156"/>
    </row>
    <row r="91" spans="27:57">
      <c r="AA91" s="27"/>
      <c r="AB91" s="27"/>
      <c r="AC91" s="27"/>
      <c r="AD91" s="27"/>
      <c r="AH91" s="27"/>
      <c r="AP91" s="27"/>
      <c r="AS91" s="27"/>
      <c r="AU91" s="27"/>
      <c r="AY91" s="27"/>
      <c r="AZ91" s="27"/>
      <c r="BA91" s="27"/>
      <c r="BB91" s="27"/>
      <c r="BC91" s="27"/>
      <c r="BE91" s="156"/>
    </row>
    <row r="92" spans="27:57">
      <c r="AA92" s="27"/>
      <c r="AB92" s="27"/>
      <c r="AC92" s="27"/>
      <c r="AD92" s="27"/>
      <c r="AH92" s="27"/>
      <c r="AP92" s="27"/>
      <c r="AS92" s="27"/>
      <c r="AU92" s="27"/>
      <c r="AY92" s="27"/>
      <c r="AZ92" s="27"/>
      <c r="BA92" s="27"/>
      <c r="BB92" s="27"/>
      <c r="BC92" s="27"/>
      <c r="BE92" s="156"/>
    </row>
    <row r="93" spans="27:57">
      <c r="AA93" s="27"/>
      <c r="AB93" s="27"/>
      <c r="AC93" s="27"/>
      <c r="AD93" s="27"/>
      <c r="AH93" s="27"/>
      <c r="AP93" s="27"/>
      <c r="AS93" s="27"/>
      <c r="AU93" s="27"/>
      <c r="AY93" s="27"/>
      <c r="AZ93" s="27"/>
      <c r="BA93" s="27"/>
      <c r="BB93" s="27"/>
      <c r="BC93" s="27"/>
      <c r="BE93" s="156"/>
    </row>
    <row r="94" spans="27:57">
      <c r="AA94" s="27"/>
      <c r="AB94" s="27"/>
      <c r="AC94" s="27"/>
      <c r="AD94" s="27"/>
      <c r="AH94" s="27"/>
      <c r="AP94" s="27"/>
      <c r="AS94" s="27"/>
      <c r="AU94" s="27"/>
      <c r="AY94" s="27"/>
      <c r="AZ94" s="27"/>
      <c r="BA94" s="27"/>
      <c r="BB94" s="27"/>
      <c r="BC94" s="27"/>
      <c r="BE94" s="156"/>
    </row>
    <row r="95" spans="27:57">
      <c r="AA95" s="27"/>
      <c r="AB95" s="27"/>
      <c r="AC95" s="27"/>
      <c r="AD95" s="27"/>
      <c r="AH95" s="27"/>
      <c r="AP95" s="27"/>
      <c r="AS95" s="27"/>
      <c r="AU95" s="27"/>
      <c r="AY95" s="27"/>
      <c r="AZ95" s="27"/>
      <c r="BA95" s="27"/>
      <c r="BB95" s="27"/>
      <c r="BC95" s="27"/>
      <c r="BE95" s="156"/>
    </row>
    <row r="96" spans="27:57">
      <c r="AA96" s="27"/>
      <c r="AB96" s="27"/>
      <c r="AC96" s="27"/>
      <c r="AD96" s="27"/>
      <c r="AH96" s="27"/>
      <c r="AP96" s="27"/>
      <c r="AS96" s="27"/>
      <c r="AU96" s="27"/>
      <c r="AY96" s="27"/>
      <c r="AZ96" s="27"/>
      <c r="BA96" s="27"/>
      <c r="BB96" s="27"/>
      <c r="BC96" s="27"/>
      <c r="BE96" s="156"/>
    </row>
    <row r="97" spans="27:57">
      <c r="AA97" s="27"/>
      <c r="AB97" s="27"/>
      <c r="AC97" s="27"/>
      <c r="AD97" s="27"/>
      <c r="AH97" s="27"/>
      <c r="AP97" s="27"/>
      <c r="AS97" s="27"/>
      <c r="AU97" s="27"/>
      <c r="AY97" s="27"/>
      <c r="AZ97" s="27"/>
      <c r="BA97" s="27"/>
      <c r="BB97" s="27"/>
      <c r="BC97" s="27"/>
      <c r="BE97" s="156"/>
    </row>
    <row r="98" spans="27:57">
      <c r="AA98" s="27"/>
      <c r="AB98" s="27"/>
      <c r="AC98" s="27"/>
      <c r="AD98" s="27"/>
      <c r="AH98" s="27"/>
      <c r="AP98" s="27"/>
      <c r="AS98" s="27"/>
      <c r="AU98" s="27"/>
      <c r="AY98" s="27"/>
      <c r="AZ98" s="27"/>
      <c r="BA98" s="27"/>
      <c r="BB98" s="27"/>
      <c r="BC98" s="27"/>
      <c r="BE98" s="156"/>
    </row>
    <row r="99" spans="27:57">
      <c r="AA99" s="27"/>
      <c r="AB99" s="27"/>
      <c r="AC99" s="27"/>
      <c r="AD99" s="27"/>
      <c r="AH99" s="27"/>
      <c r="AP99" s="27"/>
      <c r="AS99" s="27"/>
      <c r="AU99" s="27"/>
      <c r="AY99" s="27"/>
      <c r="AZ99" s="27"/>
      <c r="BA99" s="27"/>
      <c r="BB99" s="27"/>
      <c r="BC99" s="27"/>
      <c r="BE99" s="156"/>
    </row>
    <row r="100" spans="27:57">
      <c r="AA100" s="27"/>
      <c r="AB100" s="27"/>
      <c r="AC100" s="27"/>
      <c r="AD100" s="27"/>
      <c r="AH100" s="27"/>
      <c r="AP100" s="27"/>
      <c r="AS100" s="27"/>
      <c r="AU100" s="27"/>
      <c r="AY100" s="27"/>
      <c r="AZ100" s="27"/>
      <c r="BA100" s="27"/>
      <c r="BB100" s="27"/>
      <c r="BC100" s="27"/>
      <c r="BE100" s="156"/>
    </row>
    <row r="101" spans="27:57">
      <c r="AA101" s="27"/>
      <c r="AB101" s="27"/>
      <c r="AC101" s="27"/>
      <c r="AD101" s="27"/>
      <c r="AH101" s="27"/>
      <c r="AP101" s="27"/>
      <c r="AS101" s="27"/>
      <c r="AU101" s="27"/>
      <c r="AY101" s="27"/>
      <c r="AZ101" s="27"/>
      <c r="BA101" s="27"/>
      <c r="BB101" s="27"/>
      <c r="BC101" s="27"/>
      <c r="BE101" s="156"/>
    </row>
    <row r="102" spans="27:57">
      <c r="AA102" s="27"/>
      <c r="AB102" s="27"/>
      <c r="AC102" s="27"/>
      <c r="AD102" s="27"/>
      <c r="AH102" s="27"/>
      <c r="AP102" s="27"/>
      <c r="AS102" s="27"/>
      <c r="AU102" s="27"/>
      <c r="AY102" s="27"/>
      <c r="AZ102" s="27"/>
      <c r="BA102" s="27"/>
      <c r="BB102" s="27"/>
      <c r="BC102" s="27"/>
      <c r="BE102" s="156"/>
    </row>
    <row r="103" spans="27:57">
      <c r="AA103" s="27"/>
      <c r="AB103" s="27"/>
      <c r="AC103" s="27"/>
      <c r="AD103" s="27"/>
      <c r="AH103" s="27"/>
      <c r="AP103" s="27"/>
      <c r="AS103" s="27"/>
      <c r="AU103" s="27"/>
      <c r="AY103" s="27"/>
      <c r="AZ103" s="27"/>
      <c r="BA103" s="27"/>
      <c r="BB103" s="27"/>
      <c r="BC103" s="27"/>
      <c r="BE103" s="156"/>
    </row>
    <row r="104" spans="27:57">
      <c r="AA104" s="27"/>
      <c r="AB104" s="27"/>
      <c r="AC104" s="27"/>
      <c r="AD104" s="27"/>
      <c r="AH104" s="27"/>
      <c r="AP104" s="27"/>
      <c r="AS104" s="27"/>
      <c r="AU104" s="27"/>
      <c r="AY104" s="27"/>
      <c r="AZ104" s="27"/>
      <c r="BA104" s="27"/>
      <c r="BB104" s="27"/>
      <c r="BC104" s="27"/>
      <c r="BE104" s="156"/>
    </row>
    <row r="105" spans="27:57">
      <c r="AA105" s="27"/>
      <c r="AB105" s="27"/>
      <c r="AC105" s="27"/>
      <c r="AD105" s="27"/>
      <c r="AH105" s="27"/>
      <c r="AP105" s="27"/>
      <c r="AS105" s="27"/>
      <c r="AU105" s="27"/>
      <c r="AY105" s="27"/>
      <c r="AZ105" s="27"/>
      <c r="BA105" s="27"/>
      <c r="BB105" s="27"/>
      <c r="BC105" s="27"/>
      <c r="BE105" s="156"/>
    </row>
    <row r="106" spans="27:57">
      <c r="AA106" s="27"/>
      <c r="AB106" s="27"/>
      <c r="AC106" s="27"/>
      <c r="AD106" s="27"/>
      <c r="AH106" s="27"/>
      <c r="AP106" s="27"/>
      <c r="AS106" s="27"/>
      <c r="AU106" s="27"/>
      <c r="AY106" s="27"/>
      <c r="AZ106" s="27"/>
      <c r="BA106" s="27"/>
      <c r="BB106" s="27"/>
      <c r="BC106" s="27"/>
      <c r="BE106" s="156"/>
    </row>
    <row r="107" spans="27:57">
      <c r="AA107" s="27"/>
      <c r="AB107" s="27"/>
      <c r="AC107" s="27"/>
      <c r="AD107" s="27"/>
      <c r="AH107" s="27"/>
      <c r="AP107" s="27"/>
      <c r="AS107" s="27"/>
      <c r="AU107" s="27"/>
      <c r="AY107" s="27"/>
      <c r="AZ107" s="27"/>
      <c r="BA107" s="27"/>
      <c r="BB107" s="27"/>
      <c r="BC107" s="27"/>
      <c r="BE107" s="156"/>
    </row>
    <row r="108" spans="27:57">
      <c r="AA108" s="27"/>
      <c r="AB108" s="27"/>
      <c r="AC108" s="27"/>
      <c r="AD108" s="27"/>
      <c r="AH108" s="27"/>
      <c r="AP108" s="27"/>
      <c r="AS108" s="27"/>
      <c r="AU108" s="27"/>
      <c r="AY108" s="27"/>
      <c r="AZ108" s="27"/>
      <c r="BA108" s="27"/>
      <c r="BB108" s="27"/>
      <c r="BC108" s="27"/>
      <c r="BE108" s="156"/>
    </row>
    <row r="109" spans="27:57">
      <c r="AA109" s="27"/>
      <c r="AB109" s="27"/>
      <c r="AC109" s="27"/>
      <c r="AD109" s="27"/>
      <c r="AH109" s="27"/>
      <c r="AP109" s="27"/>
      <c r="AS109" s="27"/>
      <c r="AU109" s="27"/>
      <c r="AY109" s="27"/>
      <c r="AZ109" s="27"/>
      <c r="BA109" s="27"/>
      <c r="BB109" s="27"/>
      <c r="BC109" s="27"/>
      <c r="BE109" s="156"/>
    </row>
    <row r="110" spans="27:57">
      <c r="AA110" s="27"/>
      <c r="AB110" s="27"/>
      <c r="AC110" s="27"/>
      <c r="AD110" s="27"/>
      <c r="AH110" s="27"/>
      <c r="AP110" s="27"/>
      <c r="AS110" s="27"/>
      <c r="AU110" s="27"/>
      <c r="AY110" s="27"/>
      <c r="AZ110" s="27"/>
      <c r="BA110" s="27"/>
      <c r="BB110" s="27"/>
      <c r="BC110" s="27"/>
      <c r="BE110" s="156"/>
    </row>
    <row r="111" spans="27:57">
      <c r="AA111" s="27"/>
      <c r="AB111" s="27"/>
      <c r="AC111" s="27"/>
      <c r="AD111" s="27"/>
      <c r="AH111" s="27"/>
      <c r="AP111" s="27"/>
      <c r="AS111" s="27"/>
      <c r="AU111" s="27"/>
      <c r="AY111" s="27"/>
      <c r="AZ111" s="27"/>
      <c r="BA111" s="27"/>
      <c r="BB111" s="27"/>
      <c r="BC111" s="27"/>
      <c r="BE111" s="156"/>
    </row>
    <row r="112" spans="27:57">
      <c r="AA112" s="27"/>
      <c r="AB112" s="27"/>
      <c r="AC112" s="27"/>
      <c r="AD112" s="27"/>
      <c r="AH112" s="27"/>
      <c r="AP112" s="27"/>
      <c r="AS112" s="27"/>
      <c r="AU112" s="27"/>
      <c r="AY112" s="27"/>
      <c r="AZ112" s="27"/>
      <c r="BA112" s="27"/>
      <c r="BB112" s="27"/>
      <c r="BC112" s="27"/>
      <c r="BE112" s="156"/>
    </row>
    <row r="113" spans="27:57">
      <c r="AA113" s="27"/>
      <c r="AB113" s="27"/>
      <c r="AC113" s="27"/>
      <c r="AD113" s="27"/>
      <c r="AH113" s="27"/>
      <c r="AP113" s="27"/>
      <c r="AS113" s="27"/>
      <c r="AU113" s="27"/>
      <c r="AY113" s="27"/>
      <c r="AZ113" s="27"/>
      <c r="BA113" s="27"/>
      <c r="BB113" s="27"/>
      <c r="BC113" s="27"/>
      <c r="BE113" s="156"/>
    </row>
    <row r="114" spans="27:57">
      <c r="AA114" s="27"/>
      <c r="AB114" s="27"/>
      <c r="AC114" s="27"/>
      <c r="AD114" s="27"/>
      <c r="AH114" s="27"/>
      <c r="AP114" s="27"/>
      <c r="AS114" s="27"/>
      <c r="AU114" s="27"/>
      <c r="AY114" s="27"/>
      <c r="AZ114" s="27"/>
      <c r="BA114" s="27"/>
      <c r="BB114" s="27"/>
      <c r="BC114" s="27"/>
      <c r="BE114" s="156"/>
    </row>
    <row r="115" spans="27:57">
      <c r="AA115" s="27"/>
      <c r="AB115" s="27"/>
      <c r="AC115" s="27"/>
      <c r="AD115" s="27"/>
      <c r="AH115" s="27"/>
      <c r="AP115" s="27"/>
      <c r="AS115" s="27"/>
      <c r="AU115" s="27"/>
      <c r="AY115" s="27"/>
      <c r="AZ115" s="27"/>
      <c r="BA115" s="27"/>
      <c r="BB115" s="27"/>
      <c r="BC115" s="27"/>
      <c r="BE115" s="156"/>
    </row>
    <row r="116" spans="27:57">
      <c r="AA116" s="27"/>
      <c r="AB116" s="27"/>
      <c r="AC116" s="27"/>
      <c r="AD116" s="27"/>
      <c r="AH116" s="27"/>
      <c r="AP116" s="27"/>
      <c r="AS116" s="27"/>
      <c r="AU116" s="27"/>
      <c r="AY116" s="27"/>
      <c r="AZ116" s="27"/>
      <c r="BA116" s="27"/>
      <c r="BB116" s="27"/>
      <c r="BC116" s="27"/>
      <c r="BE116" s="156"/>
    </row>
    <row r="117" spans="27:57">
      <c r="AA117" s="27"/>
      <c r="AB117" s="27"/>
      <c r="AC117" s="27"/>
      <c r="AD117" s="27"/>
      <c r="AH117" s="27"/>
      <c r="AP117" s="27"/>
      <c r="AS117" s="27"/>
      <c r="AU117" s="27"/>
      <c r="AY117" s="27"/>
      <c r="AZ117" s="27"/>
      <c r="BA117" s="27"/>
      <c r="BB117" s="27"/>
      <c r="BC117" s="27"/>
      <c r="BE117" s="156"/>
    </row>
    <row r="118" spans="27:57">
      <c r="AA118" s="27"/>
      <c r="AB118" s="27"/>
      <c r="AC118" s="27"/>
      <c r="AD118" s="27"/>
      <c r="AH118" s="27"/>
      <c r="AP118" s="27"/>
      <c r="AS118" s="27"/>
      <c r="AU118" s="27"/>
      <c r="AY118" s="27"/>
      <c r="AZ118" s="27"/>
      <c r="BA118" s="27"/>
      <c r="BB118" s="27"/>
      <c r="BC118" s="27"/>
      <c r="BE118" s="156"/>
    </row>
    <row r="119" spans="27:57">
      <c r="AA119" s="27"/>
      <c r="AB119" s="27"/>
      <c r="AC119" s="27"/>
      <c r="AD119" s="27"/>
      <c r="AH119" s="27"/>
      <c r="AP119" s="27"/>
      <c r="AS119" s="27"/>
      <c r="AU119" s="27"/>
      <c r="AY119" s="27"/>
      <c r="AZ119" s="27"/>
      <c r="BA119" s="27"/>
      <c r="BB119" s="27"/>
      <c r="BC119" s="27"/>
      <c r="BE119" s="156"/>
    </row>
    <row r="120" spans="27:57">
      <c r="AA120" s="27"/>
      <c r="AB120" s="27"/>
      <c r="AC120" s="27"/>
      <c r="AD120" s="27"/>
      <c r="AH120" s="27"/>
      <c r="AP120" s="27"/>
      <c r="AS120" s="27"/>
      <c r="AU120" s="27"/>
      <c r="AY120" s="27"/>
      <c r="AZ120" s="27"/>
      <c r="BA120" s="27"/>
      <c r="BB120" s="27"/>
      <c r="BC120" s="27"/>
      <c r="BE120" s="156"/>
    </row>
    <row r="121" spans="27:57">
      <c r="AA121" s="27"/>
      <c r="AB121" s="27"/>
      <c r="AC121" s="27"/>
      <c r="AD121" s="27"/>
      <c r="AH121" s="27"/>
      <c r="AP121" s="27"/>
      <c r="AS121" s="27"/>
      <c r="AU121" s="27"/>
      <c r="AY121" s="27"/>
      <c r="AZ121" s="27"/>
      <c r="BA121" s="27"/>
      <c r="BB121" s="27"/>
      <c r="BC121" s="27"/>
      <c r="BE121" s="156"/>
    </row>
    <row r="122" spans="27:57">
      <c r="AA122" s="27"/>
      <c r="AB122" s="27"/>
      <c r="AC122" s="27"/>
      <c r="AD122" s="27"/>
      <c r="AH122" s="27"/>
      <c r="AP122" s="27"/>
      <c r="AS122" s="27"/>
      <c r="AU122" s="27"/>
      <c r="AY122" s="27"/>
      <c r="AZ122" s="27"/>
      <c r="BA122" s="27"/>
      <c r="BB122" s="27"/>
      <c r="BC122" s="27"/>
      <c r="BE122" s="156"/>
    </row>
    <row r="123" spans="27:57">
      <c r="AA123" s="27"/>
      <c r="AB123" s="27"/>
      <c r="AC123" s="27"/>
      <c r="AD123" s="27"/>
      <c r="AH123" s="27"/>
      <c r="AP123" s="27"/>
      <c r="AS123" s="27"/>
      <c r="AU123" s="27"/>
      <c r="AY123" s="27"/>
      <c r="AZ123" s="27"/>
      <c r="BA123" s="27"/>
      <c r="BB123" s="27"/>
      <c r="BC123" s="27"/>
      <c r="BE123" s="156"/>
    </row>
    <row r="124" spans="27:57">
      <c r="AA124" s="27"/>
      <c r="AB124" s="27"/>
      <c r="AC124" s="27"/>
      <c r="AD124" s="27"/>
      <c r="AH124" s="27"/>
      <c r="AP124" s="27"/>
      <c r="AS124" s="27"/>
      <c r="AU124" s="27"/>
      <c r="AY124" s="27"/>
      <c r="AZ124" s="27"/>
      <c r="BA124" s="27"/>
      <c r="BB124" s="27"/>
      <c r="BC124" s="27"/>
      <c r="BE124" s="156"/>
    </row>
    <row r="125" spans="27:57">
      <c r="AA125" s="27"/>
      <c r="AB125" s="27"/>
      <c r="AC125" s="27"/>
      <c r="AD125" s="27"/>
      <c r="AH125" s="27"/>
      <c r="AP125" s="27"/>
      <c r="AS125" s="27"/>
      <c r="AU125" s="27"/>
      <c r="AY125" s="27"/>
      <c r="AZ125" s="27"/>
      <c r="BA125" s="27"/>
      <c r="BB125" s="27"/>
      <c r="BC125" s="27"/>
      <c r="BE125" s="156"/>
    </row>
    <row r="126" spans="27:57">
      <c r="AA126" s="27"/>
      <c r="AB126" s="27"/>
      <c r="AC126" s="27"/>
      <c r="AD126" s="27"/>
      <c r="AH126" s="27"/>
      <c r="AP126" s="27"/>
      <c r="AS126" s="27"/>
      <c r="AU126" s="27"/>
      <c r="AY126" s="27"/>
      <c r="AZ126" s="27"/>
      <c r="BA126" s="27"/>
      <c r="BB126" s="27"/>
      <c r="BC126" s="27"/>
      <c r="BE126" s="156"/>
    </row>
    <row r="127" spans="27:57">
      <c r="AA127" s="27"/>
      <c r="AB127" s="27"/>
      <c r="AC127" s="27"/>
      <c r="AD127" s="27"/>
      <c r="AH127" s="27"/>
      <c r="AP127" s="27"/>
      <c r="AS127" s="27"/>
      <c r="AU127" s="27"/>
      <c r="AY127" s="27"/>
      <c r="AZ127" s="27"/>
      <c r="BA127" s="27"/>
      <c r="BB127" s="27"/>
      <c r="BC127" s="27"/>
      <c r="BE127" s="156"/>
    </row>
    <row r="128" spans="27:57">
      <c r="AA128" s="27"/>
      <c r="AB128" s="27"/>
      <c r="AC128" s="27"/>
      <c r="AD128" s="27"/>
      <c r="AH128" s="27"/>
      <c r="AP128" s="27"/>
      <c r="AS128" s="27"/>
      <c r="AU128" s="27"/>
      <c r="AY128" s="27"/>
      <c r="AZ128" s="27"/>
      <c r="BA128" s="27"/>
      <c r="BB128" s="27"/>
      <c r="BC128" s="27"/>
      <c r="BE128" s="156"/>
    </row>
    <row r="129" spans="27:57">
      <c r="AA129" s="27"/>
      <c r="AB129" s="27"/>
      <c r="AC129" s="27"/>
      <c r="AD129" s="27"/>
      <c r="AH129" s="27"/>
      <c r="AP129" s="27"/>
      <c r="AS129" s="27"/>
      <c r="AU129" s="27"/>
      <c r="AY129" s="27"/>
      <c r="AZ129" s="27"/>
      <c r="BA129" s="27"/>
      <c r="BB129" s="27"/>
      <c r="BC129" s="27"/>
      <c r="BE129" s="156"/>
    </row>
    <row r="130" spans="27:57">
      <c r="AA130" s="27"/>
      <c r="AB130" s="27"/>
      <c r="AC130" s="27"/>
      <c r="AD130" s="27"/>
      <c r="AH130" s="27"/>
      <c r="AP130" s="27"/>
      <c r="AS130" s="27"/>
      <c r="AU130" s="27"/>
      <c r="AY130" s="27"/>
      <c r="AZ130" s="27"/>
      <c r="BA130" s="27"/>
      <c r="BB130" s="27"/>
      <c r="BC130" s="27"/>
      <c r="BE130" s="156"/>
    </row>
    <row r="131" spans="27:57">
      <c r="AA131" s="27"/>
      <c r="AB131" s="27"/>
      <c r="AC131" s="27"/>
      <c r="AD131" s="27"/>
      <c r="AH131" s="27"/>
      <c r="AP131" s="27"/>
      <c r="AS131" s="27"/>
      <c r="AU131" s="27"/>
      <c r="AY131" s="27"/>
      <c r="AZ131" s="27"/>
      <c r="BA131" s="27"/>
      <c r="BB131" s="27"/>
      <c r="BC131" s="27"/>
      <c r="BE131" s="156"/>
    </row>
    <row r="132" spans="27:57">
      <c r="AA132" s="27"/>
      <c r="AB132" s="27"/>
      <c r="AC132" s="27"/>
      <c r="AD132" s="27"/>
      <c r="AH132" s="27"/>
      <c r="AP132" s="27"/>
      <c r="AS132" s="27"/>
      <c r="AU132" s="27"/>
      <c r="AY132" s="27"/>
      <c r="AZ132" s="27"/>
      <c r="BA132" s="27"/>
      <c r="BB132" s="27"/>
      <c r="BC132" s="27"/>
      <c r="BE132" s="156"/>
    </row>
    <row r="133" spans="27:57">
      <c r="AA133" s="27"/>
      <c r="AB133" s="27"/>
      <c r="AC133" s="27"/>
      <c r="AD133" s="27"/>
      <c r="AH133" s="27"/>
      <c r="AP133" s="27"/>
      <c r="AS133" s="27"/>
      <c r="AU133" s="27"/>
      <c r="AY133" s="27"/>
      <c r="AZ133" s="27"/>
      <c r="BA133" s="27"/>
      <c r="BB133" s="27"/>
      <c r="BC133" s="27"/>
      <c r="BE133" s="156"/>
    </row>
    <row r="134" spans="27:57">
      <c r="AA134" s="27"/>
      <c r="AB134" s="27"/>
      <c r="AC134" s="27"/>
      <c r="AD134" s="27"/>
      <c r="AH134" s="27"/>
      <c r="AP134" s="27"/>
      <c r="AS134" s="27"/>
      <c r="AU134" s="27"/>
      <c r="AY134" s="27"/>
      <c r="AZ134" s="27"/>
      <c r="BA134" s="27"/>
      <c r="BB134" s="27"/>
      <c r="BC134" s="27"/>
      <c r="BE134" s="156"/>
    </row>
    <row r="135" spans="27:57">
      <c r="AA135" s="27"/>
      <c r="AB135" s="27"/>
      <c r="AC135" s="27"/>
      <c r="AD135" s="27"/>
      <c r="AH135" s="27"/>
      <c r="AP135" s="27"/>
      <c r="AS135" s="27"/>
      <c r="AU135" s="27"/>
      <c r="AY135" s="27"/>
      <c r="AZ135" s="27"/>
      <c r="BA135" s="27"/>
      <c r="BB135" s="27"/>
      <c r="BC135" s="27"/>
      <c r="BE135" s="156"/>
    </row>
    <row r="136" spans="27:57">
      <c r="AA136" s="27"/>
      <c r="AB136" s="27"/>
      <c r="AC136" s="27"/>
      <c r="AD136" s="27"/>
      <c r="AH136" s="27"/>
      <c r="AP136" s="27"/>
      <c r="AS136" s="27"/>
      <c r="AU136" s="27"/>
      <c r="AY136" s="27"/>
      <c r="AZ136" s="27"/>
      <c r="BA136" s="27"/>
      <c r="BB136" s="27"/>
      <c r="BC136" s="27"/>
      <c r="BE136" s="156"/>
    </row>
    <row r="137" spans="27:57">
      <c r="AA137" s="27"/>
      <c r="AB137" s="27"/>
      <c r="AC137" s="27"/>
      <c r="AD137" s="27"/>
      <c r="AH137" s="27"/>
      <c r="AP137" s="27"/>
      <c r="AS137" s="27"/>
      <c r="AU137" s="27"/>
      <c r="AY137" s="27"/>
      <c r="AZ137" s="27"/>
      <c r="BA137" s="27"/>
      <c r="BB137" s="27"/>
      <c r="BC137" s="27"/>
      <c r="BE137" s="156"/>
    </row>
    <row r="138" spans="27:57">
      <c r="AA138" s="27"/>
      <c r="AB138" s="27"/>
      <c r="AC138" s="27"/>
      <c r="AD138" s="27"/>
      <c r="AH138" s="27"/>
      <c r="AP138" s="27"/>
      <c r="AS138" s="27"/>
      <c r="AU138" s="27"/>
      <c r="AY138" s="27"/>
      <c r="AZ138" s="27"/>
      <c r="BA138" s="27"/>
      <c r="BB138" s="27"/>
      <c r="BC138" s="27"/>
      <c r="BE138" s="156"/>
    </row>
    <row r="139" spans="27:57">
      <c r="AA139" s="27"/>
      <c r="AB139" s="27"/>
      <c r="AC139" s="27"/>
      <c r="AD139" s="27"/>
      <c r="AH139" s="27"/>
      <c r="AP139" s="27"/>
      <c r="AS139" s="27"/>
      <c r="AU139" s="27"/>
      <c r="AY139" s="27"/>
      <c r="AZ139" s="27"/>
      <c r="BA139" s="27"/>
      <c r="BB139" s="27"/>
      <c r="BC139" s="27"/>
      <c r="BE139" s="156"/>
    </row>
    <row r="140" spans="27:57">
      <c r="AA140" s="27"/>
      <c r="AB140" s="27"/>
      <c r="AC140" s="27"/>
      <c r="AD140" s="27"/>
      <c r="AH140" s="27"/>
      <c r="AP140" s="27"/>
      <c r="AS140" s="27"/>
      <c r="AU140" s="27"/>
      <c r="AY140" s="27"/>
      <c r="AZ140" s="27"/>
      <c r="BA140" s="27"/>
      <c r="BB140" s="27"/>
      <c r="BC140" s="27"/>
      <c r="BE140" s="156"/>
    </row>
    <row r="141" spans="27:57">
      <c r="AA141" s="27"/>
      <c r="AB141" s="27"/>
      <c r="AC141" s="27"/>
      <c r="AD141" s="27"/>
      <c r="AH141" s="27"/>
      <c r="AP141" s="27"/>
      <c r="AS141" s="27"/>
      <c r="AU141" s="27"/>
      <c r="AY141" s="27"/>
      <c r="AZ141" s="27"/>
      <c r="BA141" s="27"/>
      <c r="BB141" s="27"/>
      <c r="BC141" s="27"/>
      <c r="BE141" s="156"/>
    </row>
    <row r="142" spans="27:57">
      <c r="AA142" s="27"/>
      <c r="AB142" s="27"/>
      <c r="AC142" s="27"/>
      <c r="AD142" s="27"/>
      <c r="AH142" s="27"/>
      <c r="AP142" s="27"/>
      <c r="AS142" s="27"/>
      <c r="AU142" s="27"/>
      <c r="AY142" s="27"/>
      <c r="AZ142" s="27"/>
      <c r="BA142" s="27"/>
      <c r="BB142" s="27"/>
      <c r="BC142" s="27"/>
      <c r="BE142" s="156"/>
    </row>
    <row r="143" spans="27:57">
      <c r="AA143" s="27"/>
      <c r="AB143" s="27"/>
      <c r="AC143" s="27"/>
      <c r="AD143" s="27"/>
      <c r="AH143" s="27"/>
      <c r="AP143" s="27"/>
      <c r="AS143" s="27"/>
      <c r="AU143" s="27"/>
      <c r="AY143" s="27"/>
      <c r="AZ143" s="27"/>
      <c r="BA143" s="27"/>
      <c r="BB143" s="27"/>
      <c r="BC143" s="27"/>
      <c r="BE143" s="156"/>
    </row>
    <row r="144" spans="27:57">
      <c r="AA144" s="27"/>
      <c r="AB144" s="27"/>
      <c r="AC144" s="27"/>
      <c r="AD144" s="27"/>
      <c r="AH144" s="27"/>
      <c r="AP144" s="27"/>
      <c r="AS144" s="27"/>
      <c r="AU144" s="27"/>
      <c r="AY144" s="27"/>
      <c r="AZ144" s="27"/>
      <c r="BA144" s="27"/>
      <c r="BB144" s="27"/>
      <c r="BC144" s="27"/>
      <c r="BE144" s="156"/>
    </row>
    <row r="145" spans="27:57">
      <c r="AA145" s="27"/>
      <c r="AB145" s="27"/>
      <c r="AC145" s="27"/>
      <c r="AD145" s="27"/>
      <c r="AH145" s="27"/>
      <c r="AP145" s="27"/>
      <c r="AS145" s="27"/>
      <c r="AU145" s="27"/>
      <c r="AY145" s="27"/>
      <c r="AZ145" s="27"/>
      <c r="BA145" s="27"/>
      <c r="BB145" s="27"/>
      <c r="BC145" s="27"/>
      <c r="BE145" s="156"/>
    </row>
    <row r="146" spans="27:57">
      <c r="AA146" s="27"/>
      <c r="AB146" s="27"/>
      <c r="AC146" s="27"/>
      <c r="AD146" s="27"/>
      <c r="AH146" s="27"/>
      <c r="AP146" s="27"/>
      <c r="AS146" s="27"/>
      <c r="AU146" s="27"/>
      <c r="AY146" s="27"/>
      <c r="AZ146" s="27"/>
      <c r="BA146" s="27"/>
      <c r="BB146" s="27"/>
      <c r="BC146" s="27"/>
      <c r="BE146" s="156"/>
    </row>
    <row r="147" spans="27:57">
      <c r="AA147" s="27"/>
      <c r="AB147" s="27"/>
      <c r="AC147" s="27"/>
      <c r="AD147" s="27"/>
      <c r="AH147" s="27"/>
      <c r="AP147" s="27"/>
      <c r="AS147" s="27"/>
      <c r="AU147" s="27"/>
      <c r="AY147" s="27"/>
      <c r="AZ147" s="27"/>
      <c r="BA147" s="27"/>
      <c r="BB147" s="27"/>
      <c r="BC147" s="27"/>
      <c r="BE147" s="156"/>
    </row>
    <row r="148" spans="27:57">
      <c r="AA148" s="27"/>
      <c r="AB148" s="27"/>
      <c r="AC148" s="27"/>
      <c r="AD148" s="27"/>
      <c r="AH148" s="27"/>
      <c r="AP148" s="27"/>
      <c r="AS148" s="27"/>
      <c r="AU148" s="27"/>
      <c r="AY148" s="27"/>
      <c r="AZ148" s="27"/>
      <c r="BA148" s="27"/>
      <c r="BB148" s="27"/>
      <c r="BC148" s="27"/>
      <c r="BE148" s="156"/>
    </row>
    <row r="149" spans="27:57">
      <c r="AA149" s="27"/>
      <c r="AB149" s="27"/>
      <c r="AC149" s="27"/>
      <c r="AD149" s="27"/>
      <c r="AH149" s="27"/>
      <c r="AP149" s="27"/>
      <c r="AS149" s="27"/>
      <c r="AU149" s="27"/>
      <c r="AY149" s="27"/>
      <c r="AZ149" s="27"/>
      <c r="BA149" s="27"/>
      <c r="BB149" s="27"/>
      <c r="BC149" s="27"/>
      <c r="BE149" s="156"/>
    </row>
    <row r="150" spans="27:57">
      <c r="AA150" s="27"/>
      <c r="AB150" s="27"/>
      <c r="AC150" s="27"/>
      <c r="AD150" s="27"/>
      <c r="AH150" s="27"/>
      <c r="AP150" s="27"/>
      <c r="AS150" s="27"/>
      <c r="AU150" s="27"/>
      <c r="AY150" s="27"/>
      <c r="AZ150" s="27"/>
      <c r="BA150" s="27"/>
      <c r="BB150" s="27"/>
      <c r="BC150" s="27"/>
      <c r="BE150" s="156"/>
    </row>
    <row r="151" spans="27:57">
      <c r="AA151" s="27"/>
      <c r="AB151" s="27"/>
      <c r="AC151" s="27"/>
      <c r="AD151" s="27"/>
      <c r="AH151" s="27"/>
      <c r="AP151" s="27"/>
      <c r="AS151" s="27"/>
      <c r="AU151" s="27"/>
      <c r="AY151" s="27"/>
      <c r="AZ151" s="27"/>
      <c r="BA151" s="27"/>
      <c r="BB151" s="27"/>
      <c r="BC151" s="27"/>
      <c r="BE151" s="156"/>
    </row>
    <row r="152" spans="27:57">
      <c r="AA152" s="27"/>
      <c r="AB152" s="27"/>
      <c r="AC152" s="27"/>
      <c r="AD152" s="27"/>
      <c r="AH152" s="27"/>
      <c r="AP152" s="27"/>
      <c r="AS152" s="27"/>
      <c r="AU152" s="27"/>
      <c r="AY152" s="27"/>
      <c r="AZ152" s="27"/>
      <c r="BA152" s="27"/>
      <c r="BB152" s="27"/>
      <c r="BC152" s="27"/>
      <c r="BE152" s="156"/>
    </row>
    <row r="153" spans="27:57">
      <c r="AA153" s="27"/>
      <c r="AB153" s="27"/>
      <c r="AC153" s="27"/>
      <c r="AD153" s="27"/>
      <c r="AH153" s="27"/>
      <c r="AP153" s="27"/>
      <c r="AS153" s="27"/>
      <c r="AU153" s="27"/>
      <c r="AY153" s="27"/>
      <c r="AZ153" s="27"/>
      <c r="BA153" s="27"/>
      <c r="BB153" s="27"/>
      <c r="BC153" s="27"/>
      <c r="BE153" s="156"/>
    </row>
    <row r="154" spans="27:57">
      <c r="AA154" s="27"/>
      <c r="AB154" s="27"/>
      <c r="AC154" s="27"/>
      <c r="AD154" s="27"/>
      <c r="AH154" s="27"/>
      <c r="AP154" s="27"/>
      <c r="AS154" s="27"/>
      <c r="AU154" s="27"/>
      <c r="AY154" s="27"/>
      <c r="AZ154" s="27"/>
      <c r="BA154" s="27"/>
      <c r="BB154" s="27"/>
      <c r="BC154" s="27"/>
      <c r="BE154" s="156"/>
    </row>
    <row r="155" spans="27:57">
      <c r="AA155" s="27"/>
      <c r="AB155" s="27"/>
      <c r="AC155" s="27"/>
      <c r="AD155" s="27"/>
      <c r="AH155" s="27"/>
      <c r="AP155" s="27"/>
      <c r="AS155" s="27"/>
      <c r="AU155" s="27"/>
      <c r="AY155" s="27"/>
      <c r="AZ155" s="27"/>
      <c r="BA155" s="27"/>
      <c r="BB155" s="27"/>
      <c r="BC155" s="27"/>
      <c r="BE155" s="156"/>
    </row>
    <row r="156" spans="27:57">
      <c r="AA156" s="27"/>
      <c r="AB156" s="27"/>
      <c r="AC156" s="27"/>
      <c r="AD156" s="27"/>
      <c r="AH156" s="27"/>
      <c r="AP156" s="27"/>
      <c r="AS156" s="27"/>
      <c r="AU156" s="27"/>
      <c r="AY156" s="27"/>
      <c r="AZ156" s="27"/>
      <c r="BA156" s="27"/>
      <c r="BB156" s="27"/>
      <c r="BC156" s="27"/>
      <c r="BE156" s="156"/>
    </row>
    <row r="157" spans="27:57">
      <c r="AA157" s="27"/>
      <c r="AB157" s="27"/>
      <c r="AC157" s="27"/>
      <c r="AD157" s="27"/>
      <c r="AH157" s="27"/>
      <c r="AP157" s="27"/>
      <c r="AS157" s="27"/>
      <c r="AU157" s="27"/>
      <c r="AY157" s="27"/>
      <c r="AZ157" s="27"/>
      <c r="BA157" s="27"/>
      <c r="BB157" s="27"/>
      <c r="BC157" s="27"/>
      <c r="BE157" s="156"/>
    </row>
    <row r="158" spans="27:57">
      <c r="AA158" s="27"/>
      <c r="AB158" s="27"/>
      <c r="AC158" s="27"/>
      <c r="AD158" s="27"/>
      <c r="AH158" s="27"/>
      <c r="AP158" s="27"/>
      <c r="AS158" s="27"/>
      <c r="AU158" s="27"/>
      <c r="AY158" s="27"/>
      <c r="AZ158" s="27"/>
      <c r="BA158" s="27"/>
      <c r="BB158" s="27"/>
      <c r="BC158" s="27"/>
      <c r="BE158" s="156"/>
    </row>
    <row r="159" spans="27:57">
      <c r="AA159" s="27"/>
      <c r="AB159" s="27"/>
      <c r="AC159" s="27"/>
      <c r="AD159" s="27"/>
      <c r="AH159" s="27"/>
      <c r="AP159" s="27"/>
      <c r="AS159" s="27"/>
      <c r="AU159" s="27"/>
      <c r="AY159" s="27"/>
      <c r="AZ159" s="27"/>
      <c r="BA159" s="27"/>
      <c r="BB159" s="27"/>
      <c r="BC159" s="27"/>
      <c r="BE159" s="156"/>
    </row>
    <row r="160" spans="27:57">
      <c r="AA160" s="27"/>
      <c r="AB160" s="27"/>
      <c r="AC160" s="27"/>
      <c r="AD160" s="27"/>
      <c r="AH160" s="27"/>
      <c r="AP160" s="27"/>
      <c r="AS160" s="27"/>
      <c r="AU160" s="27"/>
      <c r="AY160" s="27"/>
      <c r="AZ160" s="27"/>
      <c r="BA160" s="27"/>
      <c r="BB160" s="27"/>
      <c r="BC160" s="27"/>
      <c r="BE160" s="156"/>
    </row>
    <row r="161" spans="27:57">
      <c r="AA161" s="27"/>
      <c r="AB161" s="27"/>
      <c r="AC161" s="27"/>
      <c r="AD161" s="27"/>
      <c r="AH161" s="27"/>
      <c r="AP161" s="27"/>
      <c r="AS161" s="27"/>
      <c r="AU161" s="27"/>
      <c r="AY161" s="27"/>
      <c r="AZ161" s="27"/>
      <c r="BA161" s="27"/>
      <c r="BB161" s="27"/>
      <c r="BC161" s="27"/>
      <c r="BE161" s="156"/>
    </row>
    <row r="162" spans="27:57">
      <c r="AA162" s="27"/>
      <c r="AB162" s="27"/>
      <c r="AC162" s="27"/>
      <c r="AD162" s="27"/>
      <c r="AH162" s="27"/>
      <c r="AP162" s="27"/>
      <c r="AS162" s="27"/>
      <c r="AU162" s="27"/>
      <c r="AY162" s="27"/>
      <c r="AZ162" s="27"/>
      <c r="BA162" s="27"/>
      <c r="BB162" s="27"/>
      <c r="BC162" s="27"/>
      <c r="BE162" s="156"/>
    </row>
    <row r="163" spans="27:57">
      <c r="AA163" s="27"/>
      <c r="AB163" s="27"/>
      <c r="AC163" s="27"/>
      <c r="AD163" s="27"/>
      <c r="AH163" s="27"/>
      <c r="AP163" s="27"/>
      <c r="AS163" s="27"/>
      <c r="AU163" s="27"/>
      <c r="AY163" s="27"/>
      <c r="AZ163" s="27"/>
      <c r="BA163" s="27"/>
      <c r="BB163" s="27"/>
      <c r="BC163" s="27"/>
      <c r="BE163" s="156"/>
    </row>
    <row r="164" spans="27:57">
      <c r="AA164" s="27"/>
      <c r="AB164" s="27"/>
      <c r="AC164" s="27"/>
      <c r="AD164" s="27"/>
      <c r="AH164" s="27"/>
      <c r="AP164" s="27"/>
      <c r="AS164" s="27"/>
      <c r="AU164" s="27"/>
      <c r="AY164" s="27"/>
      <c r="AZ164" s="27"/>
      <c r="BA164" s="27"/>
      <c r="BB164" s="27"/>
      <c r="BC164" s="27"/>
      <c r="BE164" s="156"/>
    </row>
    <row r="165" spans="27:57">
      <c r="AA165" s="27"/>
      <c r="AB165" s="27"/>
      <c r="AC165" s="27"/>
      <c r="AD165" s="27"/>
      <c r="AH165" s="27"/>
      <c r="AP165" s="27"/>
      <c r="AS165" s="27"/>
      <c r="AU165" s="27"/>
      <c r="AY165" s="27"/>
      <c r="AZ165" s="27"/>
      <c r="BA165" s="27"/>
      <c r="BB165" s="27"/>
      <c r="BC165" s="27"/>
      <c r="BE165" s="156"/>
    </row>
    <row r="166" spans="27:57">
      <c r="AA166" s="27"/>
      <c r="AB166" s="27"/>
      <c r="AC166" s="27"/>
      <c r="AD166" s="27"/>
      <c r="AH166" s="27"/>
      <c r="AP166" s="27"/>
      <c r="AS166" s="27"/>
      <c r="AU166" s="27"/>
      <c r="AY166" s="27"/>
      <c r="AZ166" s="27"/>
      <c r="BA166" s="27"/>
      <c r="BB166" s="27"/>
      <c r="BC166" s="27"/>
      <c r="BE166" s="156"/>
    </row>
    <row r="167" spans="27:57">
      <c r="AA167" s="27"/>
      <c r="AB167" s="27"/>
      <c r="AC167" s="27"/>
      <c r="AD167" s="27"/>
      <c r="AH167" s="27"/>
      <c r="AP167" s="27"/>
      <c r="AS167" s="27"/>
      <c r="AU167" s="27"/>
      <c r="AY167" s="27"/>
      <c r="AZ167" s="27"/>
      <c r="BA167" s="27"/>
      <c r="BB167" s="27"/>
      <c r="BC167" s="27"/>
      <c r="BE167" s="156"/>
    </row>
    <row r="168" spans="27:57">
      <c r="AA168" s="27"/>
      <c r="AB168" s="27"/>
      <c r="AC168" s="27"/>
      <c r="AD168" s="27"/>
      <c r="AH168" s="27"/>
      <c r="AP168" s="27"/>
      <c r="AS168" s="27"/>
      <c r="AU168" s="27"/>
      <c r="AY168" s="27"/>
      <c r="AZ168" s="27"/>
      <c r="BA168" s="27"/>
      <c r="BB168" s="27"/>
      <c r="BC168" s="27"/>
      <c r="BE168" s="156"/>
    </row>
    <row r="169" spans="27:57">
      <c r="AA169" s="27"/>
      <c r="AB169" s="27"/>
      <c r="AC169" s="27"/>
      <c r="AD169" s="27"/>
      <c r="AH169" s="27"/>
      <c r="AP169" s="27"/>
      <c r="AS169" s="27"/>
      <c r="AU169" s="27"/>
      <c r="AY169" s="27"/>
      <c r="AZ169" s="27"/>
      <c r="BA169" s="27"/>
      <c r="BB169" s="27"/>
      <c r="BC169" s="27"/>
      <c r="BE169" s="156"/>
    </row>
    <row r="170" spans="27:57">
      <c r="AA170" s="27"/>
      <c r="AB170" s="27"/>
      <c r="AC170" s="27"/>
      <c r="AD170" s="27"/>
      <c r="AH170" s="27"/>
      <c r="AP170" s="27"/>
      <c r="AS170" s="27"/>
      <c r="AU170" s="27"/>
      <c r="AY170" s="27"/>
      <c r="AZ170" s="27"/>
      <c r="BA170" s="27"/>
      <c r="BB170" s="27"/>
      <c r="BC170" s="27"/>
      <c r="BE170" s="156"/>
    </row>
    <row r="171" spans="27:57">
      <c r="AA171" s="27"/>
      <c r="AB171" s="27"/>
      <c r="AC171" s="27"/>
      <c r="AD171" s="27"/>
      <c r="AH171" s="27"/>
      <c r="AP171" s="27"/>
      <c r="AS171" s="27"/>
      <c r="AU171" s="27"/>
      <c r="AY171" s="27"/>
      <c r="AZ171" s="27"/>
      <c r="BA171" s="27"/>
      <c r="BB171" s="27"/>
      <c r="BC171" s="27"/>
      <c r="BE171" s="156"/>
    </row>
    <row r="172" spans="27:57">
      <c r="AA172" s="27"/>
      <c r="AB172" s="27"/>
      <c r="AC172" s="27"/>
      <c r="AD172" s="27"/>
      <c r="AH172" s="27"/>
      <c r="AP172" s="27"/>
      <c r="AS172" s="27"/>
      <c r="AU172" s="27"/>
      <c r="AY172" s="27"/>
      <c r="AZ172" s="27"/>
      <c r="BA172" s="27"/>
      <c r="BB172" s="27"/>
      <c r="BC172" s="27"/>
      <c r="BE172" s="156"/>
    </row>
    <row r="173" spans="27:57">
      <c r="AA173" s="27"/>
      <c r="AB173" s="27"/>
      <c r="AC173" s="27"/>
      <c r="AD173" s="27"/>
      <c r="AH173" s="27"/>
      <c r="AP173" s="27"/>
      <c r="AS173" s="27"/>
      <c r="AU173" s="27"/>
      <c r="AY173" s="27"/>
      <c r="AZ173" s="27"/>
      <c r="BA173" s="27"/>
      <c r="BB173" s="27"/>
      <c r="BC173" s="27"/>
      <c r="BE173" s="156"/>
    </row>
    <row r="174" spans="27:57">
      <c r="AA174" s="27"/>
      <c r="AB174" s="27"/>
      <c r="AC174" s="27"/>
      <c r="AD174" s="27"/>
      <c r="AH174" s="27"/>
      <c r="AP174" s="27"/>
      <c r="AS174" s="27"/>
      <c r="AU174" s="27"/>
      <c r="AY174" s="27"/>
      <c r="AZ174" s="27"/>
      <c r="BA174" s="27"/>
      <c r="BB174" s="27"/>
      <c r="BC174" s="27"/>
      <c r="BE174" s="156"/>
    </row>
    <row r="175" spans="27:57">
      <c r="AA175" s="27"/>
      <c r="AB175" s="27"/>
      <c r="AC175" s="27"/>
      <c r="AD175" s="27"/>
      <c r="AH175" s="27"/>
      <c r="AP175" s="27"/>
      <c r="AS175" s="27"/>
      <c r="AU175" s="27"/>
      <c r="AY175" s="27"/>
      <c r="AZ175" s="27"/>
      <c r="BA175" s="27"/>
      <c r="BB175" s="27"/>
      <c r="BC175" s="27"/>
      <c r="BE175" s="156"/>
    </row>
    <row r="176" spans="27:57">
      <c r="AA176" s="27"/>
      <c r="AB176" s="27"/>
      <c r="AC176" s="27"/>
      <c r="AD176" s="27"/>
      <c r="AH176" s="27"/>
      <c r="AP176" s="27"/>
      <c r="AS176" s="27"/>
      <c r="AU176" s="27"/>
      <c r="AY176" s="27"/>
      <c r="AZ176" s="27"/>
      <c r="BA176" s="27"/>
      <c r="BB176" s="27"/>
      <c r="BC176" s="27"/>
      <c r="BE176" s="156"/>
    </row>
    <row r="177" spans="27:57">
      <c r="AA177" s="27"/>
      <c r="AB177" s="27"/>
      <c r="AC177" s="27"/>
      <c r="AD177" s="27"/>
      <c r="AH177" s="27"/>
      <c r="AP177" s="27"/>
      <c r="AS177" s="27"/>
      <c r="AU177" s="27"/>
      <c r="AY177" s="27"/>
      <c r="AZ177" s="27"/>
      <c r="BA177" s="27"/>
      <c r="BB177" s="27"/>
      <c r="BC177" s="27"/>
      <c r="BE177" s="156"/>
    </row>
    <row r="178" spans="27:57">
      <c r="AA178" s="27"/>
      <c r="AB178" s="27"/>
      <c r="AC178" s="27"/>
      <c r="AD178" s="27"/>
      <c r="AH178" s="27"/>
      <c r="AP178" s="27"/>
      <c r="AS178" s="27"/>
      <c r="AU178" s="27"/>
      <c r="AY178" s="27"/>
      <c r="AZ178" s="27"/>
      <c r="BA178" s="27"/>
      <c r="BB178" s="27"/>
      <c r="BC178" s="27"/>
      <c r="BE178" s="156"/>
    </row>
    <row r="179" spans="27:57">
      <c r="AA179" s="27"/>
      <c r="AB179" s="27"/>
      <c r="AC179" s="27"/>
      <c r="AD179" s="27"/>
      <c r="AH179" s="27"/>
      <c r="AP179" s="27"/>
      <c r="AS179" s="27"/>
      <c r="AU179" s="27"/>
      <c r="AY179" s="27"/>
      <c r="AZ179" s="27"/>
      <c r="BA179" s="27"/>
      <c r="BB179" s="27"/>
      <c r="BC179" s="27"/>
      <c r="BE179" s="156"/>
    </row>
    <row r="180" spans="27:57">
      <c r="AA180" s="27"/>
      <c r="AB180" s="27"/>
      <c r="AC180" s="27"/>
      <c r="AD180" s="27"/>
      <c r="AH180" s="27"/>
      <c r="AP180" s="27"/>
      <c r="AS180" s="27"/>
      <c r="AU180" s="27"/>
      <c r="AY180" s="27"/>
      <c r="AZ180" s="27"/>
      <c r="BA180" s="27"/>
      <c r="BB180" s="27"/>
      <c r="BC180" s="27"/>
      <c r="BE180" s="156"/>
    </row>
    <row r="181" spans="27:57">
      <c r="AA181" s="27"/>
      <c r="AB181" s="27"/>
      <c r="AC181" s="27"/>
      <c r="AD181" s="27"/>
      <c r="AH181" s="27"/>
      <c r="AP181" s="27"/>
      <c r="AS181" s="27"/>
      <c r="AU181" s="27"/>
      <c r="AY181" s="27"/>
      <c r="AZ181" s="27"/>
      <c r="BA181" s="27"/>
      <c r="BB181" s="27"/>
      <c r="BC181" s="27"/>
      <c r="BE181" s="156"/>
    </row>
    <row r="182" spans="27:57">
      <c r="AA182" s="27"/>
      <c r="AB182" s="27"/>
      <c r="AC182" s="27"/>
      <c r="AD182" s="27"/>
      <c r="AH182" s="27"/>
      <c r="AP182" s="27"/>
      <c r="AS182" s="27"/>
      <c r="AU182" s="27"/>
      <c r="AY182" s="27"/>
      <c r="AZ182" s="27"/>
      <c r="BA182" s="27"/>
      <c r="BB182" s="27"/>
      <c r="BC182" s="27"/>
      <c r="BE182" s="156"/>
    </row>
    <row r="183" spans="27:57">
      <c r="AA183" s="27"/>
      <c r="AB183" s="27"/>
      <c r="AC183" s="27"/>
      <c r="AD183" s="27"/>
      <c r="AH183" s="27"/>
      <c r="AP183" s="27"/>
      <c r="AS183" s="27"/>
      <c r="AU183" s="27"/>
      <c r="AY183" s="27"/>
      <c r="AZ183" s="27"/>
      <c r="BA183" s="27"/>
      <c r="BB183" s="27"/>
      <c r="BC183" s="27"/>
      <c r="BE183" s="156"/>
    </row>
    <row r="184" spans="27:57">
      <c r="AA184" s="27"/>
      <c r="AB184" s="27"/>
      <c r="AC184" s="27"/>
      <c r="AD184" s="27"/>
      <c r="AH184" s="27"/>
      <c r="AP184" s="27"/>
      <c r="AS184" s="27"/>
      <c r="AU184" s="27"/>
      <c r="AY184" s="27"/>
      <c r="AZ184" s="27"/>
      <c r="BA184" s="27"/>
      <c r="BB184" s="27"/>
      <c r="BC184" s="27"/>
      <c r="BE184" s="156"/>
    </row>
    <row r="185" spans="27:57">
      <c r="AA185" s="27"/>
      <c r="AB185" s="27"/>
      <c r="AC185" s="27"/>
      <c r="AD185" s="27"/>
      <c r="AH185" s="27"/>
      <c r="AP185" s="27"/>
      <c r="AS185" s="27"/>
      <c r="AU185" s="27"/>
      <c r="AY185" s="27"/>
      <c r="AZ185" s="27"/>
      <c r="BA185" s="27"/>
      <c r="BB185" s="27"/>
      <c r="BC185" s="27"/>
      <c r="BE185" s="156"/>
    </row>
    <row r="186" spans="27:57">
      <c r="AA186" s="27"/>
      <c r="AB186" s="27"/>
      <c r="AC186" s="27"/>
      <c r="AD186" s="27"/>
      <c r="AH186" s="27"/>
      <c r="AP186" s="27"/>
      <c r="AS186" s="27"/>
      <c r="AU186" s="27"/>
      <c r="AY186" s="27"/>
      <c r="AZ186" s="27"/>
      <c r="BA186" s="27"/>
      <c r="BB186" s="27"/>
      <c r="BC186" s="27"/>
      <c r="BE186" s="156"/>
    </row>
    <row r="187" spans="27:57">
      <c r="AA187" s="27"/>
      <c r="AB187" s="27"/>
      <c r="AC187" s="27"/>
      <c r="AD187" s="27"/>
      <c r="AH187" s="27"/>
      <c r="AP187" s="27"/>
      <c r="AS187" s="27"/>
      <c r="AU187" s="27"/>
      <c r="AY187" s="27"/>
      <c r="AZ187" s="27"/>
      <c r="BA187" s="27"/>
      <c r="BB187" s="27"/>
      <c r="BC187" s="27"/>
      <c r="BE187" s="156"/>
    </row>
    <row r="188" spans="27:57">
      <c r="AA188" s="27"/>
      <c r="AB188" s="27"/>
      <c r="AC188" s="27"/>
      <c r="AD188" s="27"/>
      <c r="AH188" s="27"/>
      <c r="AP188" s="27"/>
      <c r="AS188" s="27"/>
      <c r="AU188" s="27"/>
      <c r="AY188" s="27"/>
      <c r="AZ188" s="27"/>
      <c r="BA188" s="27"/>
      <c r="BB188" s="27"/>
      <c r="BC188" s="27"/>
      <c r="BE188" s="156"/>
    </row>
    <row r="189" spans="27:57">
      <c r="AA189" s="27"/>
      <c r="AB189" s="27"/>
      <c r="AC189" s="27"/>
      <c r="AD189" s="27"/>
      <c r="AH189" s="27"/>
      <c r="AP189" s="27"/>
      <c r="AS189" s="27"/>
      <c r="AU189" s="27"/>
      <c r="AY189" s="27"/>
      <c r="AZ189" s="27"/>
      <c r="BA189" s="27"/>
      <c r="BB189" s="27"/>
      <c r="BC189" s="27"/>
      <c r="BE189" s="156"/>
    </row>
    <row r="190" spans="27:57">
      <c r="AA190" s="27"/>
      <c r="AB190" s="27"/>
      <c r="AC190" s="27"/>
      <c r="AD190" s="27"/>
      <c r="AH190" s="27"/>
      <c r="AP190" s="27"/>
      <c r="AS190" s="27"/>
      <c r="AU190" s="27"/>
      <c r="AY190" s="27"/>
      <c r="AZ190" s="27"/>
      <c r="BA190" s="27"/>
      <c r="BB190" s="27"/>
      <c r="BC190" s="27"/>
      <c r="BE190" s="156"/>
    </row>
    <row r="191" spans="27:57">
      <c r="AA191" s="27"/>
      <c r="AB191" s="27"/>
      <c r="AC191" s="27"/>
      <c r="AD191" s="27"/>
      <c r="AH191" s="27"/>
      <c r="AP191" s="27"/>
      <c r="AS191" s="27"/>
      <c r="AU191" s="27"/>
      <c r="AY191" s="27"/>
      <c r="AZ191" s="27"/>
      <c r="BA191" s="27"/>
      <c r="BB191" s="27"/>
      <c r="BC191" s="27"/>
      <c r="BE191" s="156"/>
    </row>
    <row r="192" spans="27:57">
      <c r="AA192" s="27"/>
      <c r="AB192" s="27"/>
      <c r="AC192" s="27"/>
      <c r="AD192" s="27"/>
      <c r="AH192" s="27"/>
      <c r="AP192" s="27"/>
      <c r="AS192" s="27"/>
      <c r="AU192" s="27"/>
      <c r="AY192" s="27"/>
      <c r="AZ192" s="27"/>
      <c r="BA192" s="27"/>
      <c r="BB192" s="27"/>
      <c r="BC192" s="27"/>
      <c r="BE192" s="156"/>
    </row>
    <row r="193" spans="27:57">
      <c r="AA193" s="27"/>
      <c r="AB193" s="27"/>
      <c r="AC193" s="27"/>
      <c r="AD193" s="27"/>
      <c r="AH193" s="27"/>
      <c r="AP193" s="27"/>
      <c r="AS193" s="27"/>
      <c r="AU193" s="27"/>
      <c r="AY193" s="27"/>
      <c r="AZ193" s="27"/>
      <c r="BA193" s="27"/>
      <c r="BB193" s="27"/>
      <c r="BC193" s="27"/>
      <c r="BE193" s="156"/>
    </row>
    <row r="194" spans="27:57">
      <c r="AA194" s="27"/>
      <c r="AB194" s="27"/>
      <c r="AC194" s="27"/>
      <c r="AD194" s="27"/>
      <c r="AH194" s="27"/>
      <c r="AP194" s="27"/>
      <c r="AS194" s="27"/>
      <c r="AU194" s="27"/>
      <c r="AY194" s="27"/>
      <c r="AZ194" s="27"/>
      <c r="BA194" s="27"/>
      <c r="BB194" s="27"/>
      <c r="BC194" s="27"/>
      <c r="BE194" s="156"/>
    </row>
    <row r="195" spans="27:57">
      <c r="AA195" s="27"/>
      <c r="AB195" s="27"/>
      <c r="AC195" s="27"/>
      <c r="AD195" s="27"/>
      <c r="AH195" s="27"/>
      <c r="AP195" s="27"/>
      <c r="AS195" s="27"/>
      <c r="AU195" s="27"/>
      <c r="AY195" s="27"/>
      <c r="AZ195" s="27"/>
      <c r="BA195" s="27"/>
      <c r="BB195" s="27"/>
      <c r="BC195" s="27"/>
      <c r="BE195" s="156"/>
    </row>
    <row r="196" spans="27:57">
      <c r="AA196" s="27"/>
      <c r="AB196" s="27"/>
      <c r="AC196" s="27"/>
      <c r="AD196" s="27"/>
      <c r="AH196" s="27"/>
      <c r="AP196" s="27"/>
      <c r="AS196" s="27"/>
      <c r="AU196" s="27"/>
      <c r="AY196" s="27"/>
      <c r="AZ196" s="27"/>
      <c r="BA196" s="27"/>
      <c r="BB196" s="27"/>
      <c r="BC196" s="27"/>
      <c r="BE196" s="156"/>
    </row>
    <row r="197" spans="27:57">
      <c r="AA197" s="27"/>
      <c r="AB197" s="27"/>
      <c r="AC197" s="27"/>
      <c r="AD197" s="27"/>
      <c r="AH197" s="27"/>
      <c r="AP197" s="27"/>
      <c r="AS197" s="27"/>
      <c r="AU197" s="27"/>
      <c r="AY197" s="27"/>
      <c r="AZ197" s="27"/>
      <c r="BA197" s="27"/>
      <c r="BB197" s="27"/>
      <c r="BC197" s="27"/>
      <c r="BE197" s="156"/>
    </row>
    <row r="198" spans="27:57">
      <c r="AA198" s="27"/>
      <c r="AB198" s="27"/>
      <c r="AC198" s="27"/>
      <c r="AD198" s="27"/>
      <c r="AH198" s="27"/>
      <c r="AP198" s="27"/>
      <c r="AS198" s="27"/>
      <c r="AU198" s="27"/>
      <c r="AY198" s="27"/>
      <c r="AZ198" s="27"/>
      <c r="BA198" s="27"/>
      <c r="BB198" s="27"/>
      <c r="BC198" s="27"/>
      <c r="BE198" s="156"/>
    </row>
    <row r="199" spans="27:57">
      <c r="AA199" s="27"/>
      <c r="AB199" s="27"/>
      <c r="AC199" s="27"/>
      <c r="AD199" s="27"/>
      <c r="AH199" s="27"/>
      <c r="AP199" s="27"/>
      <c r="AS199" s="27"/>
      <c r="AU199" s="27"/>
      <c r="AY199" s="27"/>
      <c r="AZ199" s="27"/>
      <c r="BA199" s="27"/>
      <c r="BB199" s="27"/>
      <c r="BC199" s="27"/>
      <c r="BE199" s="156"/>
    </row>
    <row r="200" spans="27:57">
      <c r="AA200" s="27"/>
      <c r="AB200" s="27"/>
      <c r="AC200" s="27"/>
      <c r="AD200" s="27"/>
      <c r="AH200" s="27"/>
      <c r="AP200" s="27"/>
      <c r="AS200" s="27"/>
      <c r="AU200" s="27"/>
      <c r="AY200" s="27"/>
      <c r="AZ200" s="27"/>
      <c r="BA200" s="27"/>
      <c r="BB200" s="27"/>
      <c r="BC200" s="27"/>
      <c r="BE200" s="156"/>
    </row>
    <row r="201" spans="27:57">
      <c r="AA201" s="27"/>
      <c r="AB201" s="27"/>
      <c r="AC201" s="27"/>
      <c r="AD201" s="27"/>
      <c r="AH201" s="27"/>
      <c r="AP201" s="27"/>
      <c r="AS201" s="27"/>
      <c r="AU201" s="27"/>
      <c r="AY201" s="27"/>
      <c r="AZ201" s="27"/>
      <c r="BA201" s="27"/>
      <c r="BB201" s="27"/>
      <c r="BC201" s="27"/>
      <c r="BE201" s="156"/>
    </row>
    <row r="202" spans="27:57">
      <c r="AA202" s="27"/>
      <c r="AB202" s="27"/>
      <c r="AC202" s="27"/>
      <c r="AD202" s="27"/>
      <c r="AH202" s="27"/>
      <c r="AP202" s="27"/>
      <c r="AS202" s="27"/>
      <c r="AU202" s="27"/>
      <c r="AY202" s="27"/>
      <c r="AZ202" s="27"/>
      <c r="BA202" s="27"/>
      <c r="BB202" s="27"/>
      <c r="BC202" s="27"/>
      <c r="BE202" s="156"/>
    </row>
    <row r="203" spans="27:57">
      <c r="AA203" s="27"/>
      <c r="AB203" s="27"/>
      <c r="AC203" s="27"/>
      <c r="AD203" s="27"/>
      <c r="AH203" s="27"/>
      <c r="AP203" s="27"/>
      <c r="AS203" s="27"/>
      <c r="AU203" s="27"/>
      <c r="AY203" s="27"/>
      <c r="AZ203" s="27"/>
      <c r="BA203" s="27"/>
      <c r="BB203" s="27"/>
      <c r="BC203" s="27"/>
      <c r="BE203" s="156"/>
    </row>
    <row r="204" spans="27:57">
      <c r="AA204" s="27"/>
      <c r="AB204" s="27"/>
      <c r="AC204" s="27"/>
      <c r="AD204" s="27"/>
      <c r="AH204" s="27"/>
      <c r="AP204" s="27"/>
      <c r="AS204" s="27"/>
      <c r="AU204" s="27"/>
      <c r="AY204" s="27"/>
      <c r="AZ204" s="27"/>
      <c r="BA204" s="27"/>
      <c r="BB204" s="27"/>
      <c r="BC204" s="27"/>
      <c r="BE204" s="156"/>
    </row>
    <row r="205" spans="27:57">
      <c r="AA205" s="27"/>
      <c r="AB205" s="27"/>
      <c r="AC205" s="27"/>
      <c r="AD205" s="27"/>
      <c r="AH205" s="27"/>
      <c r="AP205" s="27"/>
      <c r="AS205" s="27"/>
      <c r="AU205" s="27"/>
      <c r="AY205" s="27"/>
      <c r="AZ205" s="27"/>
      <c r="BA205" s="27"/>
      <c r="BB205" s="27"/>
      <c r="BC205" s="27"/>
      <c r="BE205" s="156"/>
    </row>
    <row r="206" spans="27:57">
      <c r="AA206" s="27"/>
      <c r="AB206" s="27"/>
      <c r="AC206" s="27"/>
      <c r="AD206" s="27"/>
      <c r="AH206" s="27"/>
      <c r="AP206" s="27"/>
      <c r="AS206" s="27"/>
      <c r="AU206" s="27"/>
      <c r="AY206" s="27"/>
      <c r="AZ206" s="27"/>
      <c r="BA206" s="27"/>
      <c r="BB206" s="27"/>
      <c r="BC206" s="27"/>
      <c r="BE206" s="156"/>
    </row>
    <row r="207" spans="27:57">
      <c r="AA207" s="27"/>
      <c r="AB207" s="27"/>
      <c r="AC207" s="27"/>
      <c r="AD207" s="27"/>
      <c r="AH207" s="27"/>
      <c r="AP207" s="27"/>
      <c r="AS207" s="27"/>
      <c r="AU207" s="27"/>
      <c r="AY207" s="27"/>
      <c r="AZ207" s="27"/>
      <c r="BA207" s="27"/>
      <c r="BB207" s="27"/>
      <c r="BC207" s="27"/>
      <c r="BE207" s="156"/>
    </row>
    <row r="208" spans="27:57">
      <c r="AA208" s="27"/>
      <c r="AB208" s="27"/>
      <c r="AC208" s="27"/>
      <c r="AD208" s="27"/>
      <c r="AH208" s="27"/>
      <c r="AP208" s="27"/>
      <c r="AS208" s="27"/>
      <c r="AU208" s="27"/>
      <c r="AY208" s="27"/>
      <c r="AZ208" s="27"/>
      <c r="BA208" s="27"/>
      <c r="BB208" s="27"/>
      <c r="BC208" s="27"/>
      <c r="BE208" s="156"/>
    </row>
    <row r="209" spans="27:57">
      <c r="AA209" s="27"/>
      <c r="AB209" s="27"/>
      <c r="AC209" s="27"/>
      <c r="AD209" s="27"/>
      <c r="AH209" s="27"/>
      <c r="AP209" s="27"/>
      <c r="AS209" s="27"/>
      <c r="AU209" s="27"/>
      <c r="AY209" s="27"/>
      <c r="AZ209" s="27"/>
      <c r="BA209" s="27"/>
      <c r="BB209" s="27"/>
      <c r="BC209" s="27"/>
      <c r="BE209" s="156"/>
    </row>
    <row r="210" spans="27:57">
      <c r="AA210" s="27"/>
      <c r="AB210" s="27"/>
      <c r="AC210" s="27"/>
      <c r="AD210" s="27"/>
      <c r="AH210" s="27"/>
      <c r="AP210" s="27"/>
      <c r="AS210" s="27"/>
      <c r="AU210" s="27"/>
      <c r="AY210" s="27"/>
      <c r="AZ210" s="27"/>
      <c r="BA210" s="27"/>
      <c r="BB210" s="27"/>
      <c r="BC210" s="27"/>
      <c r="BE210" s="156"/>
    </row>
    <row r="211" spans="27:57">
      <c r="AA211" s="27"/>
      <c r="AB211" s="27"/>
      <c r="AC211" s="27"/>
      <c r="AD211" s="27"/>
      <c r="AH211" s="27"/>
      <c r="AP211" s="27"/>
      <c r="AS211" s="27"/>
      <c r="AU211" s="27"/>
      <c r="AY211" s="27"/>
      <c r="AZ211" s="27"/>
      <c r="BA211" s="27"/>
      <c r="BB211" s="27"/>
      <c r="BC211" s="27"/>
      <c r="BE211" s="156"/>
    </row>
    <row r="212" spans="27:57">
      <c r="AA212" s="27"/>
      <c r="AB212" s="27"/>
      <c r="AC212" s="27"/>
      <c r="AD212" s="27"/>
      <c r="AH212" s="27"/>
      <c r="AP212" s="27"/>
      <c r="AS212" s="27"/>
      <c r="AU212" s="27"/>
      <c r="AY212" s="27"/>
      <c r="AZ212" s="27"/>
      <c r="BA212" s="27"/>
      <c r="BB212" s="27"/>
      <c r="BC212" s="27"/>
      <c r="BE212" s="156"/>
    </row>
    <row r="213" spans="27:57">
      <c r="AA213" s="27"/>
      <c r="AB213" s="27"/>
      <c r="AC213" s="27"/>
      <c r="AD213" s="27"/>
      <c r="AH213" s="27"/>
      <c r="AP213" s="27"/>
      <c r="AS213" s="27"/>
      <c r="AU213" s="27"/>
      <c r="AY213" s="27"/>
      <c r="AZ213" s="27"/>
      <c r="BA213" s="27"/>
      <c r="BB213" s="27"/>
      <c r="BC213" s="27"/>
      <c r="BE213" s="156"/>
    </row>
    <row r="214" spans="27:57">
      <c r="AA214" s="27"/>
      <c r="AB214" s="27"/>
      <c r="AC214" s="27"/>
      <c r="AD214" s="27"/>
      <c r="AH214" s="27"/>
      <c r="AP214" s="27"/>
      <c r="AS214" s="27"/>
      <c r="AU214" s="27"/>
      <c r="AY214" s="27"/>
      <c r="AZ214" s="27"/>
      <c r="BA214" s="27"/>
      <c r="BB214" s="27"/>
      <c r="BC214" s="27"/>
      <c r="BE214" s="156"/>
    </row>
    <row r="215" spans="27:57">
      <c r="AA215" s="27"/>
      <c r="AB215" s="27"/>
      <c r="AC215" s="27"/>
      <c r="AD215" s="27"/>
      <c r="AH215" s="27"/>
      <c r="AP215" s="27"/>
      <c r="AS215" s="27"/>
      <c r="AU215" s="27"/>
      <c r="AY215" s="27"/>
      <c r="AZ215" s="27"/>
      <c r="BA215" s="27"/>
      <c r="BB215" s="27"/>
      <c r="BC215" s="27"/>
      <c r="BE215" s="156"/>
    </row>
    <row r="216" spans="27:57">
      <c r="AA216" s="27"/>
      <c r="AB216" s="27"/>
      <c r="AC216" s="27"/>
      <c r="AD216" s="27"/>
      <c r="AH216" s="27"/>
      <c r="AP216" s="27"/>
      <c r="AS216" s="27"/>
      <c r="AU216" s="27"/>
      <c r="AY216" s="27"/>
      <c r="AZ216" s="27"/>
      <c r="BA216" s="27"/>
      <c r="BB216" s="27"/>
      <c r="BC216" s="27"/>
      <c r="BE216" s="156"/>
    </row>
    <row r="217" spans="27:57">
      <c r="AA217" s="27"/>
      <c r="AB217" s="27"/>
      <c r="AC217" s="27"/>
      <c r="AD217" s="27"/>
      <c r="AH217" s="27"/>
      <c r="AP217" s="27"/>
      <c r="AS217" s="27"/>
      <c r="AU217" s="27"/>
      <c r="AY217" s="27"/>
      <c r="AZ217" s="27"/>
      <c r="BA217" s="27"/>
      <c r="BB217" s="27"/>
      <c r="BC217" s="27"/>
      <c r="BE217" s="156"/>
    </row>
    <row r="218" spans="27:57">
      <c r="AA218" s="27"/>
      <c r="AB218" s="27"/>
      <c r="AC218" s="27"/>
      <c r="AD218" s="27"/>
      <c r="AH218" s="27"/>
      <c r="AP218" s="27"/>
      <c r="AS218" s="27"/>
      <c r="AU218" s="27"/>
      <c r="AY218" s="27"/>
      <c r="AZ218" s="27"/>
      <c r="BA218" s="27"/>
      <c r="BB218" s="27"/>
      <c r="BC218" s="27"/>
      <c r="BE218" s="156"/>
    </row>
    <row r="219" spans="27:57">
      <c r="AA219" s="27"/>
      <c r="AB219" s="27"/>
      <c r="AC219" s="27"/>
      <c r="AD219" s="27"/>
      <c r="AH219" s="27"/>
      <c r="AP219" s="27"/>
      <c r="AS219" s="27"/>
      <c r="AU219" s="27"/>
      <c r="AY219" s="27"/>
      <c r="AZ219" s="27"/>
      <c r="BA219" s="27"/>
      <c r="BB219" s="27"/>
      <c r="BC219" s="27"/>
      <c r="BE219" s="156"/>
    </row>
    <row r="220" spans="27:57">
      <c r="AA220" s="27"/>
      <c r="AB220" s="27"/>
      <c r="AC220" s="27"/>
      <c r="AD220" s="27"/>
      <c r="AH220" s="27"/>
      <c r="AP220" s="27"/>
      <c r="AS220" s="27"/>
      <c r="AU220" s="27"/>
      <c r="AY220" s="27"/>
      <c r="AZ220" s="27"/>
      <c r="BA220" s="27"/>
      <c r="BB220" s="27"/>
      <c r="BC220" s="27"/>
      <c r="BE220" s="156"/>
    </row>
    <row r="221" spans="27:57">
      <c r="AA221" s="27"/>
      <c r="AB221" s="27"/>
      <c r="AC221" s="27"/>
      <c r="AD221" s="27"/>
      <c r="AH221" s="27"/>
      <c r="AP221" s="27"/>
      <c r="AS221" s="27"/>
      <c r="AU221" s="27"/>
      <c r="AY221" s="27"/>
      <c r="AZ221" s="27"/>
      <c r="BA221" s="27"/>
      <c r="BB221" s="27"/>
      <c r="BC221" s="27"/>
      <c r="BE221" s="156"/>
    </row>
    <row r="222" spans="27:57">
      <c r="AA222" s="27"/>
      <c r="AB222" s="27"/>
      <c r="AC222" s="27"/>
      <c r="AD222" s="27"/>
      <c r="AH222" s="27"/>
      <c r="AP222" s="27"/>
      <c r="AS222" s="27"/>
      <c r="AU222" s="27"/>
      <c r="AY222" s="27"/>
      <c r="AZ222" s="27"/>
      <c r="BA222" s="27"/>
      <c r="BB222" s="27"/>
      <c r="BC222" s="27"/>
      <c r="BE222" s="156"/>
    </row>
    <row r="223" spans="27:57">
      <c r="AA223" s="27"/>
      <c r="AB223" s="27"/>
      <c r="AC223" s="27"/>
      <c r="AD223" s="27"/>
      <c r="AH223" s="27"/>
      <c r="AP223" s="27"/>
      <c r="AS223" s="27"/>
      <c r="AU223" s="27"/>
      <c r="AY223" s="27"/>
      <c r="AZ223" s="27"/>
      <c r="BA223" s="27"/>
      <c r="BB223" s="27"/>
      <c r="BC223" s="27"/>
      <c r="BE223" s="156"/>
    </row>
    <row r="224" spans="27:57">
      <c r="AA224" s="27"/>
      <c r="AB224" s="27"/>
      <c r="AC224" s="27"/>
      <c r="AD224" s="27"/>
      <c r="AH224" s="27"/>
      <c r="AP224" s="27"/>
      <c r="AS224" s="27"/>
      <c r="AU224" s="27"/>
      <c r="AY224" s="27"/>
      <c r="AZ224" s="27"/>
      <c r="BA224" s="27"/>
      <c r="BB224" s="27"/>
      <c r="BC224" s="27"/>
      <c r="BE224" s="156"/>
    </row>
    <row r="225" spans="27:57">
      <c r="AA225" s="27"/>
      <c r="AB225" s="27"/>
      <c r="AC225" s="27"/>
      <c r="AD225" s="27"/>
      <c r="AH225" s="27"/>
      <c r="AP225" s="27"/>
      <c r="AS225" s="27"/>
      <c r="AU225" s="27"/>
      <c r="AY225" s="27"/>
      <c r="AZ225" s="27"/>
      <c r="BA225" s="27"/>
      <c r="BB225" s="27"/>
      <c r="BC225" s="27"/>
      <c r="BE225" s="156"/>
    </row>
    <row r="226" spans="27:57">
      <c r="AA226" s="27"/>
      <c r="AB226" s="27"/>
      <c r="AC226" s="27"/>
      <c r="AD226" s="27"/>
      <c r="AH226" s="27"/>
      <c r="AP226" s="27"/>
      <c r="AS226" s="27"/>
      <c r="AU226" s="27"/>
      <c r="AY226" s="27"/>
      <c r="AZ226" s="27"/>
      <c r="BA226" s="27"/>
      <c r="BB226" s="27"/>
      <c r="BC226" s="27"/>
      <c r="BE226" s="156"/>
    </row>
    <row r="227" spans="27:57">
      <c r="AA227" s="27"/>
      <c r="AB227" s="27"/>
      <c r="AC227" s="27"/>
      <c r="AD227" s="27"/>
      <c r="AH227" s="27"/>
      <c r="AP227" s="27"/>
      <c r="AS227" s="27"/>
      <c r="AU227" s="27"/>
      <c r="AY227" s="27"/>
      <c r="AZ227" s="27"/>
      <c r="BA227" s="27"/>
      <c r="BB227" s="27"/>
      <c r="BC227" s="27"/>
      <c r="BE227" s="156"/>
    </row>
    <row r="228" spans="27:57">
      <c r="AA228" s="27"/>
      <c r="AB228" s="27"/>
      <c r="AC228" s="27"/>
      <c r="AD228" s="27"/>
      <c r="AH228" s="27"/>
      <c r="AP228" s="27"/>
      <c r="AS228" s="27"/>
      <c r="AU228" s="27"/>
      <c r="AY228" s="27"/>
      <c r="AZ228" s="27"/>
      <c r="BA228" s="27"/>
      <c r="BB228" s="27"/>
      <c r="BC228" s="27"/>
      <c r="BE228" s="156"/>
    </row>
    <row r="229" spans="27:57">
      <c r="AA229" s="27"/>
      <c r="AB229" s="27"/>
      <c r="AC229" s="27"/>
      <c r="AD229" s="27"/>
      <c r="AH229" s="27"/>
      <c r="AP229" s="27"/>
      <c r="AS229" s="27"/>
      <c r="AU229" s="27"/>
      <c r="AY229" s="27"/>
      <c r="AZ229" s="27"/>
      <c r="BA229" s="27"/>
      <c r="BB229" s="27"/>
      <c r="BC229" s="27"/>
      <c r="BE229" s="156"/>
    </row>
    <row r="230" spans="27:57">
      <c r="AA230" s="27"/>
      <c r="AB230" s="27"/>
      <c r="AC230" s="27"/>
      <c r="AD230" s="27"/>
      <c r="AH230" s="27"/>
      <c r="AP230" s="27"/>
      <c r="AS230" s="27"/>
      <c r="AU230" s="27"/>
      <c r="AY230" s="27"/>
      <c r="AZ230" s="27"/>
      <c r="BA230" s="27"/>
      <c r="BB230" s="27"/>
      <c r="BC230" s="27"/>
      <c r="BE230" s="156"/>
    </row>
    <row r="231" spans="27:57">
      <c r="AA231" s="27"/>
      <c r="AB231" s="27"/>
      <c r="AC231" s="27"/>
      <c r="AD231" s="27"/>
      <c r="AH231" s="27"/>
      <c r="AP231" s="27"/>
      <c r="AS231" s="27"/>
      <c r="AU231" s="27"/>
      <c r="AY231" s="27"/>
      <c r="AZ231" s="27"/>
      <c r="BA231" s="27"/>
      <c r="BB231" s="27"/>
      <c r="BC231" s="27"/>
      <c r="BE231" s="156"/>
    </row>
    <row r="232" spans="27:57">
      <c r="AA232" s="27"/>
      <c r="AB232" s="27"/>
      <c r="AC232" s="27"/>
      <c r="AD232" s="27"/>
      <c r="AH232" s="27"/>
      <c r="AP232" s="27"/>
      <c r="AS232" s="27"/>
      <c r="AU232" s="27"/>
      <c r="AY232" s="27"/>
      <c r="AZ232" s="27"/>
      <c r="BA232" s="27"/>
      <c r="BB232" s="27"/>
      <c r="BC232" s="27"/>
      <c r="BE232" s="156"/>
    </row>
    <row r="233" spans="27:57">
      <c r="AA233" s="27"/>
      <c r="AB233" s="27"/>
      <c r="AC233" s="27"/>
      <c r="AD233" s="27"/>
      <c r="AH233" s="27"/>
      <c r="AP233" s="27"/>
      <c r="AS233" s="27"/>
      <c r="AU233" s="27"/>
      <c r="AY233" s="27"/>
      <c r="AZ233" s="27"/>
      <c r="BA233" s="27"/>
      <c r="BB233" s="27"/>
      <c r="BC233" s="27"/>
      <c r="BE233" s="156"/>
    </row>
    <row r="234" spans="27:57">
      <c r="AA234" s="27"/>
      <c r="AB234" s="27"/>
      <c r="AC234" s="27"/>
      <c r="AD234" s="27"/>
      <c r="AH234" s="27"/>
      <c r="AP234" s="27"/>
      <c r="AS234" s="27"/>
      <c r="AU234" s="27"/>
      <c r="AY234" s="27"/>
      <c r="AZ234" s="27"/>
      <c r="BA234" s="27"/>
      <c r="BB234" s="27"/>
      <c r="BC234" s="27"/>
      <c r="BE234" s="156"/>
    </row>
    <row r="235" spans="27:57">
      <c r="AA235" s="27"/>
      <c r="AB235" s="27"/>
      <c r="AC235" s="27"/>
      <c r="AD235" s="27"/>
      <c r="AH235" s="27"/>
      <c r="AP235" s="27"/>
      <c r="AS235" s="27"/>
      <c r="AU235" s="27"/>
      <c r="AY235" s="27"/>
      <c r="AZ235" s="27"/>
      <c r="BA235" s="27"/>
      <c r="BB235" s="27"/>
      <c r="BC235" s="27"/>
      <c r="BE235" s="156"/>
    </row>
    <row r="236" spans="27:57">
      <c r="AA236" s="27"/>
      <c r="AB236" s="27"/>
      <c r="AC236" s="27"/>
      <c r="AD236" s="27"/>
      <c r="AH236" s="27"/>
      <c r="AP236" s="27"/>
      <c r="AS236" s="27"/>
      <c r="AU236" s="27"/>
      <c r="AY236" s="27"/>
      <c r="AZ236" s="27"/>
      <c r="BA236" s="27"/>
      <c r="BB236" s="27"/>
      <c r="BC236" s="27"/>
      <c r="BE236" s="156"/>
    </row>
    <row r="237" spans="27:57">
      <c r="AA237" s="27"/>
      <c r="AB237" s="27"/>
      <c r="AC237" s="27"/>
      <c r="AD237" s="27"/>
      <c r="AH237" s="27"/>
      <c r="AP237" s="27"/>
      <c r="AS237" s="27"/>
      <c r="AU237" s="27"/>
      <c r="AY237" s="27"/>
      <c r="AZ237" s="27"/>
      <c r="BA237" s="27"/>
      <c r="BB237" s="27"/>
      <c r="BC237" s="27"/>
      <c r="BE237" s="156"/>
    </row>
    <row r="238" spans="27:57">
      <c r="AA238" s="27"/>
      <c r="AB238" s="27"/>
      <c r="AC238" s="27"/>
      <c r="AD238" s="27"/>
      <c r="AH238" s="27"/>
      <c r="AP238" s="27"/>
      <c r="AS238" s="27"/>
      <c r="AU238" s="27"/>
      <c r="AY238" s="27"/>
      <c r="AZ238" s="27"/>
      <c r="BA238" s="27"/>
      <c r="BB238" s="27"/>
      <c r="BC238" s="27"/>
      <c r="BE238" s="156"/>
    </row>
    <row r="239" spans="27:57">
      <c r="AA239" s="27"/>
      <c r="AB239" s="27"/>
      <c r="AC239" s="27"/>
      <c r="AD239" s="27"/>
      <c r="AH239" s="27"/>
      <c r="AP239" s="27"/>
      <c r="AS239" s="27"/>
      <c r="AU239" s="27"/>
      <c r="AY239" s="27"/>
      <c r="AZ239" s="27"/>
      <c r="BA239" s="27"/>
      <c r="BB239" s="27"/>
      <c r="BC239" s="27"/>
      <c r="BE239" s="156"/>
    </row>
    <row r="240" spans="27:57">
      <c r="AA240" s="27"/>
      <c r="AB240" s="27"/>
      <c r="AC240" s="27"/>
      <c r="AD240" s="27"/>
      <c r="AH240" s="27"/>
      <c r="AP240" s="27"/>
      <c r="AS240" s="27"/>
      <c r="AU240" s="27"/>
      <c r="AY240" s="27"/>
      <c r="AZ240" s="27"/>
      <c r="BA240" s="27"/>
      <c r="BB240" s="27"/>
      <c r="BC240" s="27"/>
      <c r="BE240" s="156"/>
    </row>
    <row r="241" spans="27:57">
      <c r="AA241" s="27"/>
      <c r="AB241" s="27"/>
      <c r="AC241" s="27"/>
      <c r="AD241" s="27"/>
      <c r="AH241" s="27"/>
      <c r="AP241" s="27"/>
      <c r="AS241" s="27"/>
      <c r="AU241" s="27"/>
      <c r="AY241" s="27"/>
      <c r="AZ241" s="27"/>
      <c r="BA241" s="27"/>
      <c r="BB241" s="27"/>
      <c r="BC241" s="27"/>
      <c r="BE241" s="156"/>
    </row>
    <row r="242" spans="27:57">
      <c r="AA242" s="27"/>
      <c r="AB242" s="27"/>
      <c r="AC242" s="27"/>
      <c r="AD242" s="27"/>
      <c r="AH242" s="27"/>
      <c r="AP242" s="27"/>
      <c r="AS242" s="27"/>
      <c r="AU242" s="27"/>
      <c r="AY242" s="27"/>
      <c r="AZ242" s="27"/>
      <c r="BA242" s="27"/>
      <c r="BB242" s="27"/>
      <c r="BC242" s="27"/>
      <c r="BE242" s="156"/>
    </row>
    <row r="243" spans="27:57">
      <c r="AA243" s="27"/>
      <c r="AB243" s="27"/>
      <c r="AC243" s="27"/>
      <c r="AD243" s="27"/>
      <c r="AH243" s="27"/>
      <c r="AP243" s="27"/>
      <c r="AS243" s="27"/>
      <c r="AU243" s="27"/>
      <c r="AY243" s="27"/>
      <c r="AZ243" s="27"/>
      <c r="BA243" s="27"/>
      <c r="BB243" s="27"/>
      <c r="BC243" s="27"/>
      <c r="BE243" s="156"/>
    </row>
    <row r="244" spans="27:57">
      <c r="AA244" s="27"/>
      <c r="AB244" s="27"/>
      <c r="AC244" s="27"/>
      <c r="AD244" s="27"/>
      <c r="AH244" s="27"/>
      <c r="AP244" s="27"/>
      <c r="AS244" s="27"/>
      <c r="AU244" s="27"/>
      <c r="AY244" s="27"/>
      <c r="AZ244" s="27"/>
      <c r="BA244" s="27"/>
      <c r="BB244" s="27"/>
      <c r="BC244" s="27"/>
      <c r="BE244" s="156"/>
    </row>
    <row r="245" spans="27:57">
      <c r="AA245" s="27"/>
      <c r="AB245" s="27"/>
      <c r="AC245" s="27"/>
      <c r="AD245" s="27"/>
      <c r="AH245" s="27"/>
      <c r="AP245" s="27"/>
      <c r="AS245" s="27"/>
      <c r="AU245" s="27"/>
      <c r="AY245" s="27"/>
      <c r="AZ245" s="27"/>
      <c r="BA245" s="27"/>
      <c r="BB245" s="27"/>
      <c r="BC245" s="27"/>
      <c r="BE245" s="156"/>
    </row>
    <row r="246" spans="27:57">
      <c r="AA246" s="27"/>
      <c r="AB246" s="27"/>
      <c r="AC246" s="27"/>
      <c r="AD246" s="27"/>
      <c r="AH246" s="27"/>
      <c r="AP246" s="27"/>
      <c r="AS246" s="27"/>
      <c r="AU246" s="27"/>
      <c r="AY246" s="27"/>
      <c r="AZ246" s="27"/>
      <c r="BA246" s="27"/>
      <c r="BB246" s="27"/>
      <c r="BC246" s="27"/>
      <c r="BE246" s="156"/>
    </row>
    <row r="247" spans="27:57">
      <c r="AA247" s="27"/>
      <c r="AB247" s="27"/>
      <c r="AC247" s="27"/>
      <c r="AD247" s="27"/>
      <c r="AH247" s="27"/>
      <c r="AP247" s="27"/>
      <c r="AS247" s="27"/>
      <c r="AU247" s="27"/>
      <c r="AY247" s="27"/>
      <c r="AZ247" s="27"/>
      <c r="BA247" s="27"/>
      <c r="BB247" s="27"/>
      <c r="BC247" s="27"/>
      <c r="BE247" s="156"/>
    </row>
    <row r="248" spans="27:57">
      <c r="AA248" s="27"/>
      <c r="AB248" s="27"/>
      <c r="AC248" s="27"/>
      <c r="AD248" s="27"/>
      <c r="AH248" s="27"/>
      <c r="AP248" s="27"/>
      <c r="AS248" s="27"/>
      <c r="AU248" s="27"/>
      <c r="AY248" s="27"/>
      <c r="AZ248" s="27"/>
      <c r="BA248" s="27"/>
      <c r="BB248" s="27"/>
      <c r="BC248" s="27"/>
      <c r="BE248" s="156"/>
    </row>
    <row r="249" spans="27:57">
      <c r="AA249" s="27"/>
      <c r="AB249" s="27"/>
      <c r="AC249" s="27"/>
      <c r="AD249" s="27"/>
      <c r="AH249" s="27"/>
      <c r="AP249" s="27"/>
      <c r="AS249" s="27"/>
      <c r="AU249" s="27"/>
      <c r="AY249" s="27"/>
      <c r="AZ249" s="27"/>
      <c r="BA249" s="27"/>
      <c r="BB249" s="27"/>
      <c r="BC249" s="27"/>
      <c r="BE249" s="156"/>
    </row>
    <row r="250" spans="27:57">
      <c r="AA250" s="27"/>
      <c r="AB250" s="27"/>
      <c r="AC250" s="27"/>
      <c r="AD250" s="27"/>
      <c r="AH250" s="27"/>
      <c r="AP250" s="27"/>
      <c r="AS250" s="27"/>
      <c r="AU250" s="27"/>
      <c r="AY250" s="27"/>
      <c r="AZ250" s="27"/>
      <c r="BA250" s="27"/>
      <c r="BB250" s="27"/>
      <c r="BC250" s="27"/>
      <c r="BE250" s="156"/>
    </row>
    <row r="251" spans="27:57">
      <c r="AA251" s="27"/>
      <c r="AB251" s="27"/>
      <c r="AC251" s="27"/>
      <c r="AD251" s="27"/>
      <c r="AH251" s="27"/>
      <c r="AP251" s="27"/>
      <c r="AS251" s="27"/>
      <c r="AU251" s="27"/>
      <c r="AY251" s="27"/>
      <c r="AZ251" s="27"/>
      <c r="BA251" s="27"/>
      <c r="BB251" s="27"/>
      <c r="BC251" s="27"/>
      <c r="BE251" s="156"/>
    </row>
    <row r="252" spans="27:57">
      <c r="AA252" s="27"/>
      <c r="AB252" s="27"/>
      <c r="AC252" s="27"/>
      <c r="AD252" s="27"/>
      <c r="AH252" s="27"/>
      <c r="AP252" s="27"/>
      <c r="AS252" s="27"/>
      <c r="AU252" s="27"/>
      <c r="AY252" s="27"/>
      <c r="AZ252" s="27"/>
      <c r="BA252" s="27"/>
      <c r="BB252" s="27"/>
      <c r="BC252" s="27"/>
      <c r="BE252" s="156"/>
    </row>
    <row r="253" spans="27:57">
      <c r="AA253" s="27"/>
      <c r="AB253" s="27"/>
      <c r="AC253" s="27"/>
      <c r="AD253" s="27"/>
      <c r="AH253" s="27"/>
      <c r="AP253" s="27"/>
      <c r="AS253" s="27"/>
      <c r="AU253" s="27"/>
      <c r="AY253" s="27"/>
      <c r="AZ253" s="27"/>
      <c r="BA253" s="27"/>
      <c r="BB253" s="27"/>
      <c r="BC253" s="27"/>
      <c r="BE253" s="156"/>
    </row>
    <row r="254" spans="27:57">
      <c r="AA254" s="27"/>
      <c r="AB254" s="27"/>
      <c r="AC254" s="27"/>
      <c r="AD254" s="27"/>
      <c r="AH254" s="27"/>
      <c r="AP254" s="27"/>
      <c r="AS254" s="27"/>
      <c r="AU254" s="27"/>
      <c r="AY254" s="27"/>
      <c r="AZ254" s="27"/>
      <c r="BA254" s="27"/>
      <c r="BB254" s="27"/>
      <c r="BC254" s="27"/>
      <c r="BE254" s="156"/>
    </row>
    <row r="255" spans="27:57">
      <c r="AA255" s="27"/>
      <c r="AB255" s="27"/>
      <c r="AC255" s="27"/>
      <c r="AD255" s="27"/>
      <c r="AH255" s="27"/>
      <c r="AP255" s="27"/>
      <c r="AS255" s="27"/>
      <c r="AU255" s="27"/>
      <c r="AY255" s="27"/>
      <c r="AZ255" s="27"/>
      <c r="BA255" s="27"/>
      <c r="BB255" s="27"/>
      <c r="BC255" s="27"/>
      <c r="BE255" s="156"/>
    </row>
    <row r="256" spans="27:57">
      <c r="AA256" s="27"/>
      <c r="AB256" s="27"/>
      <c r="AC256" s="27"/>
      <c r="AD256" s="27"/>
      <c r="AH256" s="27"/>
      <c r="AP256" s="27"/>
      <c r="AS256" s="27"/>
      <c r="AU256" s="27"/>
      <c r="AY256" s="27"/>
      <c r="AZ256" s="27"/>
      <c r="BA256" s="27"/>
      <c r="BB256" s="27"/>
      <c r="BC256" s="27"/>
      <c r="BE256" s="156"/>
    </row>
    <row r="257" spans="27:57">
      <c r="AA257" s="27"/>
      <c r="AB257" s="27"/>
      <c r="AC257" s="27"/>
      <c r="AD257" s="27"/>
      <c r="AH257" s="27"/>
      <c r="AP257" s="27"/>
      <c r="AS257" s="27"/>
      <c r="AU257" s="27"/>
      <c r="AY257" s="27"/>
      <c r="AZ257" s="27"/>
      <c r="BA257" s="27"/>
      <c r="BB257" s="27"/>
      <c r="BC257" s="27"/>
      <c r="BE257" s="156"/>
    </row>
    <row r="258" spans="27:57">
      <c r="AA258" s="27"/>
      <c r="AB258" s="27"/>
      <c r="AC258" s="27"/>
      <c r="AD258" s="27"/>
      <c r="AH258" s="27"/>
      <c r="AP258" s="27"/>
      <c r="AS258" s="27"/>
      <c r="AU258" s="27"/>
      <c r="AY258" s="27"/>
      <c r="AZ258" s="27"/>
      <c r="BA258" s="27"/>
      <c r="BB258" s="27"/>
      <c r="BC258" s="27"/>
      <c r="BE258" s="156"/>
    </row>
    <row r="259" spans="27:57">
      <c r="AA259" s="27"/>
      <c r="AB259" s="27"/>
      <c r="AC259" s="27"/>
      <c r="AD259" s="27"/>
      <c r="AH259" s="27"/>
      <c r="AP259" s="27"/>
      <c r="AS259" s="27"/>
      <c r="AU259" s="27"/>
      <c r="AY259" s="27"/>
      <c r="AZ259" s="27"/>
      <c r="BA259" s="27"/>
      <c r="BB259" s="27"/>
      <c r="BC259" s="27"/>
      <c r="BE259" s="156"/>
    </row>
    <row r="260" spans="27:57">
      <c r="AA260" s="27"/>
      <c r="AB260" s="27"/>
      <c r="AC260" s="27"/>
      <c r="AD260" s="27"/>
      <c r="AH260" s="27"/>
      <c r="AP260" s="27"/>
      <c r="AS260" s="27"/>
      <c r="AU260" s="27"/>
      <c r="AY260" s="27"/>
      <c r="AZ260" s="27"/>
      <c r="BA260" s="27"/>
      <c r="BB260" s="27"/>
      <c r="BC260" s="27"/>
      <c r="BE260" s="156"/>
    </row>
    <row r="261" spans="27:57">
      <c r="AA261" s="27"/>
      <c r="AB261" s="27"/>
      <c r="AC261" s="27"/>
      <c r="AD261" s="27"/>
      <c r="AH261" s="27"/>
      <c r="AP261" s="27"/>
      <c r="AS261" s="27"/>
      <c r="AU261" s="27"/>
      <c r="AY261" s="27"/>
      <c r="AZ261" s="27"/>
      <c r="BA261" s="27"/>
      <c r="BB261" s="27"/>
      <c r="BC261" s="27"/>
      <c r="BE261" s="156"/>
    </row>
    <row r="262" spans="27:57">
      <c r="AA262" s="27"/>
      <c r="AB262" s="27"/>
      <c r="AC262" s="27"/>
      <c r="AD262" s="27"/>
      <c r="AH262" s="27"/>
      <c r="AP262" s="27"/>
      <c r="AS262" s="27"/>
      <c r="AU262" s="27"/>
      <c r="AY262" s="27"/>
      <c r="AZ262" s="27"/>
      <c r="BA262" s="27"/>
      <c r="BB262" s="27"/>
      <c r="BC262" s="27"/>
      <c r="BE262" s="156"/>
    </row>
    <row r="263" spans="27:57">
      <c r="AA263" s="27"/>
      <c r="AB263" s="27"/>
      <c r="AC263" s="27"/>
      <c r="AD263" s="27"/>
      <c r="AH263" s="27"/>
      <c r="AP263" s="27"/>
      <c r="AS263" s="27"/>
      <c r="AU263" s="27"/>
      <c r="AY263" s="27"/>
      <c r="AZ263" s="27"/>
      <c r="BA263" s="27"/>
      <c r="BB263" s="27"/>
      <c r="BC263" s="27"/>
      <c r="BE263" s="156"/>
    </row>
    <row r="264" spans="27:57">
      <c r="AA264" s="27"/>
      <c r="AB264" s="27"/>
      <c r="AC264" s="27"/>
      <c r="AD264" s="27"/>
      <c r="AH264" s="27"/>
      <c r="AP264" s="27"/>
      <c r="AS264" s="27"/>
      <c r="AU264" s="27"/>
      <c r="AY264" s="27"/>
      <c r="AZ264" s="27"/>
      <c r="BA264" s="27"/>
      <c r="BB264" s="27"/>
      <c r="BC264" s="27"/>
      <c r="BE264" s="156"/>
    </row>
    <row r="265" spans="27:57">
      <c r="AA265" s="27"/>
      <c r="AB265" s="27"/>
      <c r="AC265" s="27"/>
      <c r="AD265" s="27"/>
      <c r="AH265" s="27"/>
      <c r="AP265" s="27"/>
      <c r="AS265" s="27"/>
      <c r="AU265" s="27"/>
      <c r="AY265" s="27"/>
      <c r="AZ265" s="27"/>
      <c r="BA265" s="27"/>
      <c r="BB265" s="27"/>
      <c r="BC265" s="27"/>
      <c r="BE265" s="156"/>
    </row>
    <row r="266" spans="27:57">
      <c r="AA266" s="27"/>
      <c r="AB266" s="27"/>
      <c r="AC266" s="27"/>
      <c r="AD266" s="27"/>
      <c r="AH266" s="27"/>
      <c r="AP266" s="27"/>
      <c r="AS266" s="27"/>
      <c r="AU266" s="27"/>
      <c r="AY266" s="27"/>
      <c r="AZ266" s="27"/>
      <c r="BA266" s="27"/>
      <c r="BB266" s="27"/>
      <c r="BC266" s="27"/>
      <c r="BE266" s="156"/>
    </row>
    <row r="267" spans="27:57">
      <c r="AA267" s="27"/>
      <c r="AB267" s="27"/>
      <c r="AC267" s="27"/>
      <c r="AD267" s="27"/>
      <c r="AH267" s="27"/>
      <c r="AP267" s="27"/>
      <c r="AS267" s="27"/>
      <c r="AU267" s="27"/>
      <c r="AY267" s="27"/>
      <c r="AZ267" s="27"/>
      <c r="BA267" s="27"/>
      <c r="BB267" s="27"/>
      <c r="BC267" s="27"/>
      <c r="BE267" s="156"/>
    </row>
    <row r="268" spans="27:57">
      <c r="AA268" s="27"/>
      <c r="AB268" s="27"/>
      <c r="AC268" s="27"/>
      <c r="AD268" s="27"/>
      <c r="AH268" s="27"/>
      <c r="AP268" s="27"/>
      <c r="AS268" s="27"/>
      <c r="AU268" s="27"/>
      <c r="AY268" s="27"/>
      <c r="AZ268" s="27"/>
      <c r="BA268" s="27"/>
      <c r="BB268" s="27"/>
      <c r="BC268" s="27"/>
      <c r="BE268" s="156"/>
    </row>
    <row r="269" spans="27:57">
      <c r="AA269" s="27"/>
      <c r="AB269" s="27"/>
      <c r="AC269" s="27"/>
      <c r="AD269" s="27"/>
      <c r="AH269" s="27"/>
      <c r="AP269" s="27"/>
      <c r="AS269" s="27"/>
      <c r="AU269" s="27"/>
      <c r="AY269" s="27"/>
      <c r="AZ269" s="27"/>
      <c r="BA269" s="27"/>
      <c r="BB269" s="27"/>
      <c r="BC269" s="27"/>
      <c r="BE269" s="156"/>
    </row>
    <row r="270" spans="27:57">
      <c r="BE270" s="156"/>
    </row>
    <row r="271" spans="27:57">
      <c r="BE271" s="156"/>
    </row>
    <row r="272" spans="27:57">
      <c r="BE272" s="156"/>
    </row>
    <row r="273" spans="57:57">
      <c r="BE273" s="156"/>
    </row>
    <row r="274" spans="57:57">
      <c r="BE274" s="156"/>
    </row>
    <row r="275" spans="57:57">
      <c r="BE275" s="156"/>
    </row>
    <row r="276" spans="57:57">
      <c r="BE276" s="156"/>
    </row>
    <row r="277" spans="57:57">
      <c r="BE277" s="156"/>
    </row>
    <row r="278" spans="57:57">
      <c r="BE278" s="156"/>
    </row>
    <row r="279" spans="57:57">
      <c r="BE279" s="156"/>
    </row>
    <row r="280" spans="57:57">
      <c r="BE280" s="156"/>
    </row>
    <row r="281" spans="57:57">
      <c r="BE281" s="156"/>
    </row>
    <row r="282" spans="57:57">
      <c r="BE282" s="156"/>
    </row>
    <row r="283" spans="57:57">
      <c r="BE283" s="156"/>
    </row>
    <row r="284" spans="57:57">
      <c r="BE284" s="156"/>
    </row>
    <row r="285" spans="57:57">
      <c r="BE285" s="156"/>
    </row>
    <row r="286" spans="57:57">
      <c r="BE286" s="156"/>
    </row>
    <row r="287" spans="57:57">
      <c r="BE287" s="156"/>
    </row>
    <row r="288" spans="57:57">
      <c r="BE288" s="156"/>
    </row>
    <row r="289" spans="57:57">
      <c r="BE289" s="156"/>
    </row>
    <row r="290" spans="57:57">
      <c r="BE290" s="156"/>
    </row>
    <row r="291" spans="57:57">
      <c r="BE291" s="156"/>
    </row>
    <row r="292" spans="57:57">
      <c r="BE292" s="156"/>
    </row>
    <row r="293" spans="57:57">
      <c r="BE293" s="156"/>
    </row>
    <row r="294" spans="57:57">
      <c r="BE294" s="156"/>
    </row>
    <row r="295" spans="57:57">
      <c r="BE295" s="156"/>
    </row>
    <row r="296" spans="57:57">
      <c r="BE296" s="156"/>
    </row>
    <row r="297" spans="57:57">
      <c r="BE297" s="156"/>
    </row>
    <row r="298" spans="57:57">
      <c r="BE298" s="156"/>
    </row>
    <row r="299" spans="57:57">
      <c r="BE299" s="156"/>
    </row>
    <row r="300" spans="57:57">
      <c r="BE300" s="156"/>
    </row>
    <row r="301" spans="57:57">
      <c r="BE301" s="156"/>
    </row>
    <row r="302" spans="57:57">
      <c r="BE302" s="156"/>
    </row>
    <row r="303" spans="57:57">
      <c r="BE303" s="156"/>
    </row>
    <row r="304" spans="57:57">
      <c r="BE304" s="156"/>
    </row>
    <row r="305" spans="57:57">
      <c r="BE305" s="156"/>
    </row>
    <row r="306" spans="57:57">
      <c r="BE306" s="156"/>
    </row>
    <row r="307" spans="57:57">
      <c r="BE307" s="156"/>
    </row>
    <row r="308" spans="57:57">
      <c r="BE308" s="156"/>
    </row>
    <row r="309" spans="57:57">
      <c r="BE309" s="156"/>
    </row>
    <row r="310" spans="57:57">
      <c r="BE310" s="156"/>
    </row>
    <row r="311" spans="57:57">
      <c r="BE311" s="156"/>
    </row>
    <row r="312" spans="57:57">
      <c r="BE312" s="156"/>
    </row>
    <row r="313" spans="57:57">
      <c r="BE313" s="156"/>
    </row>
    <row r="314" spans="57:57">
      <c r="BE314" s="156"/>
    </row>
    <row r="315" spans="57:57">
      <c r="BE315" s="156"/>
    </row>
    <row r="316" spans="57:57">
      <c r="BE316" s="156"/>
    </row>
    <row r="317" spans="57:57">
      <c r="BE317" s="156"/>
    </row>
    <row r="318" spans="57:57">
      <c r="BE318" s="156"/>
    </row>
    <row r="319" spans="57:57">
      <c r="BE319" s="156"/>
    </row>
    <row r="320" spans="57:57">
      <c r="BE320" s="156"/>
    </row>
    <row r="321" spans="57:57">
      <c r="BE321" s="156"/>
    </row>
    <row r="322" spans="57:57">
      <c r="BE322" s="156"/>
    </row>
    <row r="323" spans="57:57">
      <c r="BE323" s="156"/>
    </row>
    <row r="324" spans="57:57">
      <c r="BE324" s="156"/>
    </row>
    <row r="325" spans="57:57">
      <c r="BE325" s="156"/>
    </row>
    <row r="326" spans="57:57">
      <c r="BE326" s="156"/>
    </row>
    <row r="327" spans="57:57">
      <c r="BE327" s="156"/>
    </row>
    <row r="328" spans="57:57">
      <c r="BE328" s="156"/>
    </row>
    <row r="329" spans="57:57">
      <c r="BE329" s="156"/>
    </row>
    <row r="330" spans="57:57">
      <c r="BE330" s="156"/>
    </row>
    <row r="331" spans="57:57">
      <c r="BE331" s="156"/>
    </row>
    <row r="332" spans="57:57">
      <c r="BE332" s="156"/>
    </row>
    <row r="333" spans="57:57">
      <c r="BE333" s="156"/>
    </row>
    <row r="334" spans="57:57">
      <c r="BE334" s="156"/>
    </row>
    <row r="335" spans="57:57">
      <c r="BE335" s="156"/>
    </row>
    <row r="336" spans="57:57">
      <c r="BE336" s="156"/>
    </row>
    <row r="337" spans="57:57">
      <c r="BE337" s="156"/>
    </row>
    <row r="338" spans="57:57">
      <c r="BE338" s="156"/>
    </row>
    <row r="339" spans="57:57">
      <c r="BE339" s="156"/>
    </row>
    <row r="340" spans="57:57">
      <c r="BE340" s="156"/>
    </row>
    <row r="341" spans="57:57">
      <c r="BE341" s="156"/>
    </row>
    <row r="342" spans="57:57">
      <c r="BE342" s="156"/>
    </row>
    <row r="343" spans="57:57">
      <c r="BE343" s="156"/>
    </row>
    <row r="344" spans="57:57">
      <c r="BE344" s="156"/>
    </row>
    <row r="345" spans="57:57">
      <c r="BE345" s="156"/>
    </row>
    <row r="346" spans="57:57">
      <c r="BE346" s="156"/>
    </row>
    <row r="347" spans="57:57">
      <c r="BE347" s="156"/>
    </row>
    <row r="348" spans="57:57">
      <c r="BE348" s="156"/>
    </row>
    <row r="349" spans="57:57">
      <c r="BE349" s="156"/>
    </row>
    <row r="350" spans="57:57">
      <c r="BE350" s="156"/>
    </row>
    <row r="351" spans="57:57">
      <c r="BE351" s="156"/>
    </row>
    <row r="352" spans="57:57">
      <c r="BE352" s="156"/>
    </row>
    <row r="353" spans="57:57">
      <c r="BE353" s="156"/>
    </row>
    <row r="354" spans="57:57">
      <c r="BE354" s="156"/>
    </row>
    <row r="355" spans="57:57">
      <c r="BE355" s="156"/>
    </row>
    <row r="356" spans="57:57">
      <c r="BE356" s="156"/>
    </row>
    <row r="357" spans="57:57">
      <c r="BE357" s="156"/>
    </row>
    <row r="358" spans="57:57">
      <c r="BE358" s="156"/>
    </row>
    <row r="359" spans="57:57">
      <c r="BE359" s="156"/>
    </row>
    <row r="360" spans="57:57">
      <c r="BE360" s="156"/>
    </row>
    <row r="361" spans="57:57">
      <c r="BE361" s="156"/>
    </row>
    <row r="362" spans="57:57">
      <c r="BE362" s="156"/>
    </row>
    <row r="363" spans="57:57">
      <c r="BE363" s="156"/>
    </row>
    <row r="364" spans="57:57">
      <c r="BE364" s="156"/>
    </row>
    <row r="365" spans="57:57">
      <c r="BE365" s="156"/>
    </row>
    <row r="366" spans="57:57">
      <c r="BE366" s="156"/>
    </row>
    <row r="367" spans="57:57">
      <c r="BE367" s="156"/>
    </row>
    <row r="368" spans="57:57">
      <c r="BE368" s="156"/>
    </row>
    <row r="369" spans="57:57">
      <c r="BE369" s="156"/>
    </row>
    <row r="370" spans="57:57">
      <c r="BE370" s="156"/>
    </row>
    <row r="371" spans="57:57">
      <c r="BE371" s="156"/>
    </row>
    <row r="372" spans="57:57">
      <c r="BE372" s="156"/>
    </row>
    <row r="373" spans="57:57">
      <c r="BE373" s="156"/>
    </row>
    <row r="374" spans="57:57">
      <c r="BE374" s="156"/>
    </row>
    <row r="375" spans="57:57">
      <c r="BE375" s="156"/>
    </row>
    <row r="376" spans="57:57">
      <c r="BE376" s="156"/>
    </row>
    <row r="377" spans="57:57">
      <c r="BE377" s="156"/>
    </row>
    <row r="378" spans="57:57">
      <c r="BE378" s="156"/>
    </row>
    <row r="379" spans="57:57">
      <c r="BE379" s="156"/>
    </row>
    <row r="380" spans="57:57">
      <c r="BE380" s="156"/>
    </row>
    <row r="381" spans="57:57">
      <c r="BE381" s="156"/>
    </row>
    <row r="382" spans="57:57">
      <c r="BE382" s="156"/>
    </row>
    <row r="383" spans="57:57">
      <c r="BE383" s="156"/>
    </row>
    <row r="384" spans="57:57">
      <c r="BE384" s="156"/>
    </row>
    <row r="385" spans="57:57">
      <c r="BE385" s="156"/>
    </row>
    <row r="386" spans="57:57">
      <c r="BE386" s="156"/>
    </row>
    <row r="387" spans="57:57">
      <c r="BE387" s="156"/>
    </row>
    <row r="388" spans="57:57">
      <c r="BE388" s="156"/>
    </row>
    <row r="389" spans="57:57">
      <c r="BE389" s="156"/>
    </row>
    <row r="390" spans="57:57">
      <c r="BE390" s="156"/>
    </row>
    <row r="391" spans="57:57">
      <c r="BE391" s="156"/>
    </row>
    <row r="392" spans="57:57">
      <c r="BE392" s="156"/>
    </row>
    <row r="393" spans="57:57">
      <c r="BE393" s="156"/>
    </row>
    <row r="394" spans="57:57">
      <c r="BE394" s="156"/>
    </row>
    <row r="395" spans="57:57">
      <c r="BE395" s="156"/>
    </row>
    <row r="396" spans="57:57">
      <c r="BE396" s="156"/>
    </row>
    <row r="397" spans="57:57">
      <c r="BE397" s="156"/>
    </row>
    <row r="398" spans="57:57">
      <c r="BE398" s="156"/>
    </row>
    <row r="399" spans="57:57">
      <c r="BE399" s="156"/>
    </row>
    <row r="400" spans="57:57">
      <c r="BE400" s="156"/>
    </row>
    <row r="401" spans="57:57">
      <c r="BE401" s="156"/>
    </row>
    <row r="402" spans="57:57">
      <c r="BE402" s="156"/>
    </row>
    <row r="403" spans="57:57">
      <c r="BE403" s="156"/>
    </row>
    <row r="404" spans="57:57">
      <c r="BE404" s="156"/>
    </row>
    <row r="405" spans="57:57">
      <c r="BE405" s="156"/>
    </row>
    <row r="406" spans="57:57">
      <c r="BE406" s="156"/>
    </row>
    <row r="407" spans="57:57">
      <c r="BE407" s="156"/>
    </row>
    <row r="408" spans="57:57">
      <c r="BE408" s="156"/>
    </row>
    <row r="409" spans="57:57">
      <c r="BE409" s="156"/>
    </row>
    <row r="410" spans="57:57">
      <c r="BE410" s="156"/>
    </row>
    <row r="411" spans="57:57">
      <c r="BE411" s="156"/>
    </row>
    <row r="412" spans="57:57">
      <c r="BE412" s="156"/>
    </row>
    <row r="413" spans="57:57">
      <c r="BE413" s="156"/>
    </row>
    <row r="414" spans="57:57">
      <c r="BE414" s="156"/>
    </row>
    <row r="415" spans="57:57">
      <c r="BE415" s="156"/>
    </row>
    <row r="416" spans="57:57">
      <c r="BE416" s="156"/>
    </row>
    <row r="417" spans="57:57">
      <c r="BE417" s="156"/>
    </row>
    <row r="418" spans="57:57">
      <c r="BE418" s="156"/>
    </row>
    <row r="419" spans="57:57">
      <c r="BE419" s="156"/>
    </row>
    <row r="420" spans="57:57">
      <c r="BE420" s="156"/>
    </row>
    <row r="421" spans="57:57">
      <c r="BE421" s="156"/>
    </row>
    <row r="422" spans="57:57">
      <c r="BE422" s="156"/>
    </row>
    <row r="423" spans="57:57">
      <c r="BE423" s="156"/>
    </row>
    <row r="424" spans="57:57">
      <c r="BE424" s="156"/>
    </row>
    <row r="425" spans="57:57">
      <c r="BE425" s="156"/>
    </row>
    <row r="426" spans="57:57">
      <c r="BE426" s="156"/>
    </row>
    <row r="427" spans="57:57">
      <c r="BE427" s="156"/>
    </row>
    <row r="428" spans="57:57">
      <c r="BE428" s="156"/>
    </row>
    <row r="429" spans="57:57">
      <c r="BE429" s="156"/>
    </row>
    <row r="430" spans="57:57">
      <c r="BE430" s="156"/>
    </row>
    <row r="431" spans="57:57">
      <c r="BE431" s="156"/>
    </row>
    <row r="432" spans="57:57">
      <c r="BE432" s="156"/>
    </row>
    <row r="433" spans="57:57">
      <c r="BE433" s="156"/>
    </row>
    <row r="434" spans="57:57">
      <c r="BE434" s="156"/>
    </row>
    <row r="435" spans="57:57">
      <c r="BE435" s="156"/>
    </row>
    <row r="436" spans="57:57">
      <c r="BE436" s="156"/>
    </row>
    <row r="437" spans="57:57">
      <c r="BE437" s="156"/>
    </row>
    <row r="438" spans="57:57">
      <c r="BE438" s="156"/>
    </row>
    <row r="439" spans="57:57">
      <c r="BE439" s="156"/>
    </row>
    <row r="440" spans="57:57">
      <c r="BE440" s="156"/>
    </row>
    <row r="441" spans="57:57">
      <c r="BE441" s="156"/>
    </row>
    <row r="442" spans="57:57">
      <c r="BE442" s="156"/>
    </row>
    <row r="443" spans="57:57">
      <c r="BE443" s="156"/>
    </row>
    <row r="444" spans="57:57">
      <c r="BE444" s="156"/>
    </row>
    <row r="445" spans="57:57">
      <c r="BE445" s="156"/>
    </row>
    <row r="446" spans="57:57">
      <c r="BE446" s="156"/>
    </row>
    <row r="447" spans="57:57">
      <c r="BE447" s="156"/>
    </row>
    <row r="448" spans="57:57">
      <c r="BE448" s="156"/>
    </row>
    <row r="449" spans="57:57">
      <c r="BE449" s="156"/>
    </row>
    <row r="450" spans="57:57">
      <c r="BE450" s="156"/>
    </row>
    <row r="451" spans="57:57">
      <c r="BE451" s="156"/>
    </row>
    <row r="452" spans="57:57">
      <c r="BE452" s="156"/>
    </row>
    <row r="453" spans="57:57">
      <c r="BE453" s="156"/>
    </row>
    <row r="454" spans="57:57">
      <c r="BE454" s="156"/>
    </row>
    <row r="455" spans="57:57">
      <c r="BE455" s="156"/>
    </row>
    <row r="456" spans="57:57">
      <c r="BE456" s="156"/>
    </row>
    <row r="457" spans="57:57">
      <c r="BE457" s="156"/>
    </row>
    <row r="458" spans="57:57">
      <c r="BE458" s="156"/>
    </row>
    <row r="459" spans="57:57">
      <c r="BE459" s="156"/>
    </row>
    <row r="460" spans="57:57">
      <c r="BE460" s="156"/>
    </row>
    <row r="461" spans="57:57">
      <c r="BE461" s="156"/>
    </row>
    <row r="462" spans="57:57">
      <c r="BE462" s="156"/>
    </row>
    <row r="463" spans="57:57">
      <c r="BE463" s="156"/>
    </row>
    <row r="464" spans="57:57">
      <c r="BE464" s="156"/>
    </row>
    <row r="465" spans="57:57">
      <c r="BE465" s="156"/>
    </row>
    <row r="466" spans="57:57">
      <c r="BE466" s="156"/>
    </row>
    <row r="467" spans="57:57">
      <c r="BE467" s="156"/>
    </row>
    <row r="468" spans="57:57">
      <c r="BE468" s="156"/>
    </row>
    <row r="469" spans="57:57">
      <c r="BE469" s="156"/>
    </row>
    <row r="470" spans="57:57">
      <c r="BE470" s="156"/>
    </row>
    <row r="471" spans="57:57">
      <c r="BE471" s="156"/>
    </row>
    <row r="472" spans="57:57">
      <c r="BE472" s="156"/>
    </row>
    <row r="473" spans="57:57">
      <c r="BE473" s="156"/>
    </row>
    <row r="474" spans="57:57">
      <c r="BE474" s="156"/>
    </row>
    <row r="475" spans="57:57">
      <c r="BE475" s="156"/>
    </row>
    <row r="476" spans="57:57">
      <c r="BE476" s="156"/>
    </row>
    <row r="477" spans="57:57">
      <c r="BE477" s="156"/>
    </row>
    <row r="478" spans="57:57">
      <c r="BE478" s="156"/>
    </row>
    <row r="479" spans="57:57">
      <c r="BE479" s="156"/>
    </row>
    <row r="480" spans="57:57">
      <c r="BE480" s="156"/>
    </row>
    <row r="481" spans="57:57">
      <c r="BE481" s="156"/>
    </row>
    <row r="482" spans="57:57">
      <c r="BE482" s="156"/>
    </row>
    <row r="483" spans="57:57">
      <c r="BE483" s="156"/>
    </row>
    <row r="484" spans="57:57">
      <c r="BE484" s="156"/>
    </row>
    <row r="485" spans="57:57">
      <c r="BE485" s="156"/>
    </row>
    <row r="486" spans="57:57">
      <c r="BE486" s="156"/>
    </row>
    <row r="487" spans="57:57">
      <c r="BE487" s="156"/>
    </row>
    <row r="488" spans="57:57">
      <c r="BE488" s="156"/>
    </row>
    <row r="489" spans="57:57">
      <c r="BE489" s="156"/>
    </row>
    <row r="490" spans="57:57">
      <c r="BE490" s="156"/>
    </row>
    <row r="491" spans="57:57">
      <c r="BE491" s="156"/>
    </row>
    <row r="492" spans="57:57">
      <c r="BE492" s="156"/>
    </row>
    <row r="493" spans="57:57">
      <c r="BE493" s="156"/>
    </row>
    <row r="494" spans="57:57">
      <c r="BE494" s="156"/>
    </row>
    <row r="495" spans="57:57">
      <c r="BE495" s="156"/>
    </row>
    <row r="496" spans="57:57">
      <c r="BE496" s="156"/>
    </row>
    <row r="497" spans="57:57">
      <c r="BE497" s="156"/>
    </row>
    <row r="498" spans="57:57">
      <c r="BE498" s="156"/>
    </row>
    <row r="499" spans="57:57">
      <c r="BE499" s="156"/>
    </row>
    <row r="500" spans="57:57">
      <c r="BE500" s="156"/>
    </row>
    <row r="501" spans="57:57">
      <c r="BE501" s="156"/>
    </row>
    <row r="502" spans="57:57">
      <c r="BE502" s="156"/>
    </row>
    <row r="503" spans="57:57">
      <c r="BE503" s="156"/>
    </row>
    <row r="504" spans="57:57">
      <c r="BE504" s="156"/>
    </row>
    <row r="505" spans="57:57">
      <c r="BE505" s="156"/>
    </row>
    <row r="506" spans="57:57">
      <c r="BE506" s="156"/>
    </row>
    <row r="507" spans="57:57">
      <c r="BE507" s="156"/>
    </row>
    <row r="508" spans="57:57">
      <c r="BE508" s="156"/>
    </row>
    <row r="509" spans="57:57">
      <c r="BE509" s="156"/>
    </row>
    <row r="510" spans="57:57">
      <c r="BE510" s="156"/>
    </row>
    <row r="511" spans="57:57">
      <c r="BE511" s="156"/>
    </row>
    <row r="512" spans="57:57">
      <c r="BE512" s="156"/>
    </row>
    <row r="513" spans="57:57">
      <c r="BE513" s="156"/>
    </row>
    <row r="514" spans="57:57">
      <c r="BE514" s="156"/>
    </row>
    <row r="515" spans="57:57">
      <c r="BE515" s="156"/>
    </row>
    <row r="516" spans="57:57">
      <c r="BE516" s="156"/>
    </row>
    <row r="517" spans="57:57">
      <c r="BE517" s="156"/>
    </row>
    <row r="518" spans="57:57">
      <c r="BE518" s="156"/>
    </row>
    <row r="519" spans="57:57">
      <c r="BE519" s="156"/>
    </row>
    <row r="520" spans="57:57">
      <c r="BE520" s="156"/>
    </row>
    <row r="521" spans="57:57">
      <c r="BE521" s="156"/>
    </row>
    <row r="522" spans="57:57">
      <c r="BE522" s="156"/>
    </row>
    <row r="523" spans="57:57">
      <c r="BE523" s="156"/>
    </row>
    <row r="524" spans="57:57">
      <c r="BE524" s="156"/>
    </row>
    <row r="525" spans="57:57">
      <c r="BE525" s="156"/>
    </row>
    <row r="526" spans="57:57">
      <c r="BE526" s="156"/>
    </row>
    <row r="527" spans="57:57">
      <c r="BE527" s="156"/>
    </row>
    <row r="528" spans="57:57">
      <c r="BE528" s="156"/>
    </row>
    <row r="529" spans="57:57">
      <c r="BE529" s="156"/>
    </row>
    <row r="530" spans="57:57">
      <c r="BE530" s="156"/>
    </row>
    <row r="531" spans="57:57">
      <c r="BE531" s="156"/>
    </row>
    <row r="532" spans="57:57">
      <c r="BE532" s="156"/>
    </row>
    <row r="533" spans="57:57">
      <c r="BE533" s="156"/>
    </row>
    <row r="534" spans="57:57">
      <c r="BE534" s="156"/>
    </row>
    <row r="535" spans="57:57">
      <c r="BE535" s="156"/>
    </row>
    <row r="536" spans="57:57">
      <c r="BE536" s="156"/>
    </row>
    <row r="537" spans="57:57">
      <c r="BE537" s="156"/>
    </row>
    <row r="538" spans="57:57">
      <c r="BE538" s="156"/>
    </row>
    <row r="539" spans="57:57">
      <c r="BE539" s="156"/>
    </row>
    <row r="540" spans="57:57">
      <c r="BE540" s="156"/>
    </row>
    <row r="541" spans="57:57">
      <c r="BE541" s="156"/>
    </row>
    <row r="542" spans="57:57">
      <c r="BE542" s="156"/>
    </row>
    <row r="543" spans="57:57">
      <c r="BE543" s="156"/>
    </row>
    <row r="544" spans="57:57">
      <c r="BE544" s="156"/>
    </row>
    <row r="545" spans="57:57">
      <c r="BE545" s="156"/>
    </row>
    <row r="546" spans="57:57">
      <c r="BE546" s="156"/>
    </row>
    <row r="547" spans="57:57">
      <c r="BE547" s="156"/>
    </row>
    <row r="548" spans="57:57">
      <c r="BE548" s="156"/>
    </row>
    <row r="549" spans="57:57">
      <c r="BE549" s="156"/>
    </row>
    <row r="550" spans="57:57">
      <c r="BE550" s="156"/>
    </row>
    <row r="551" spans="57:57">
      <c r="BE551" s="156"/>
    </row>
    <row r="552" spans="57:57">
      <c r="BE552" s="156"/>
    </row>
    <row r="553" spans="57:57">
      <c r="BE553" s="156"/>
    </row>
    <row r="554" spans="57:57">
      <c r="BE554" s="156"/>
    </row>
    <row r="555" spans="57:57">
      <c r="BE555" s="156"/>
    </row>
    <row r="556" spans="57:57">
      <c r="BE556" s="156"/>
    </row>
    <row r="557" spans="57:57">
      <c r="BE557" s="156"/>
    </row>
    <row r="558" spans="57:57">
      <c r="BE558" s="156"/>
    </row>
    <row r="559" spans="57:57">
      <c r="BE559" s="156"/>
    </row>
    <row r="560" spans="57:57">
      <c r="BE560" s="156"/>
    </row>
    <row r="561" spans="57:57">
      <c r="BE561" s="156"/>
    </row>
    <row r="562" spans="57:57">
      <c r="BE562" s="156"/>
    </row>
    <row r="563" spans="57:57">
      <c r="BE563" s="156"/>
    </row>
    <row r="564" spans="57:57">
      <c r="BE564" s="156"/>
    </row>
    <row r="565" spans="57:57">
      <c r="BE565" s="156"/>
    </row>
    <row r="566" spans="57:57">
      <c r="BE566" s="156"/>
    </row>
    <row r="567" spans="57:57">
      <c r="BE567" s="156"/>
    </row>
    <row r="568" spans="57:57">
      <c r="BE568" s="156"/>
    </row>
    <row r="569" spans="57:57">
      <c r="BE569" s="156"/>
    </row>
    <row r="570" spans="57:57">
      <c r="BE570" s="156"/>
    </row>
    <row r="571" spans="57:57">
      <c r="BE571" s="156"/>
    </row>
    <row r="572" spans="57:57">
      <c r="BE572" s="156"/>
    </row>
    <row r="573" spans="57:57">
      <c r="BE573" s="156"/>
    </row>
    <row r="574" spans="57:57">
      <c r="BE574" s="156"/>
    </row>
    <row r="575" spans="57:57">
      <c r="BE575" s="156"/>
    </row>
    <row r="576" spans="57:57">
      <c r="BE576" s="156"/>
    </row>
    <row r="577" spans="57:57">
      <c r="BE577" s="156"/>
    </row>
    <row r="578" spans="57:57">
      <c r="BE578" s="156"/>
    </row>
    <row r="579" spans="57:57">
      <c r="BE579" s="156"/>
    </row>
    <row r="580" spans="57:57">
      <c r="BE580" s="156"/>
    </row>
    <row r="581" spans="57:57">
      <c r="BE581" s="156"/>
    </row>
    <row r="582" spans="57:57">
      <c r="BE582" s="156"/>
    </row>
    <row r="583" spans="57:57">
      <c r="BE583" s="156"/>
    </row>
    <row r="584" spans="57:57">
      <c r="BE584" s="156"/>
    </row>
    <row r="585" spans="57:57">
      <c r="BE585" s="156"/>
    </row>
    <row r="586" spans="57:57">
      <c r="BE586" s="156"/>
    </row>
    <row r="587" spans="57:57">
      <c r="BE587" s="156"/>
    </row>
    <row r="588" spans="57:57">
      <c r="BE588" s="156"/>
    </row>
    <row r="589" spans="57:57">
      <c r="BE589" s="156"/>
    </row>
    <row r="590" spans="57:57">
      <c r="BE590" s="156"/>
    </row>
    <row r="591" spans="57:57">
      <c r="BE591" s="156"/>
    </row>
    <row r="592" spans="57:57">
      <c r="BE592" s="156"/>
    </row>
    <row r="593" spans="57:57">
      <c r="BE593" s="156"/>
    </row>
    <row r="594" spans="57:57">
      <c r="BE594" s="156"/>
    </row>
    <row r="595" spans="57:57">
      <c r="BE595" s="156"/>
    </row>
    <row r="596" spans="57:57">
      <c r="BE596" s="156"/>
    </row>
    <row r="597" spans="57:57">
      <c r="BE597" s="156"/>
    </row>
    <row r="598" spans="57:57">
      <c r="BE598" s="156"/>
    </row>
    <row r="599" spans="57:57">
      <c r="BE599" s="156"/>
    </row>
    <row r="600" spans="57:57">
      <c r="BE600" s="156"/>
    </row>
    <row r="601" spans="57:57">
      <c r="BE601" s="156"/>
    </row>
    <row r="602" spans="57:57">
      <c r="BE602" s="156"/>
    </row>
    <row r="603" spans="57:57">
      <c r="BE603" s="156"/>
    </row>
    <row r="604" spans="57:57">
      <c r="BE604" s="156"/>
    </row>
    <row r="605" spans="57:57">
      <c r="BE605" s="156"/>
    </row>
    <row r="606" spans="57:57">
      <c r="BE606" s="156"/>
    </row>
    <row r="607" spans="57:57">
      <c r="BE607" s="156"/>
    </row>
    <row r="608" spans="57:57">
      <c r="BE608" s="156"/>
    </row>
    <row r="609" spans="57:57">
      <c r="BE609" s="156"/>
    </row>
    <row r="610" spans="57:57">
      <c r="BE610" s="156"/>
    </row>
    <row r="611" spans="57:57">
      <c r="BE611" s="156"/>
    </row>
    <row r="612" spans="57:57">
      <c r="BE612" s="156"/>
    </row>
    <row r="613" spans="57:57">
      <c r="BE613" s="156"/>
    </row>
    <row r="614" spans="57:57">
      <c r="BE614" s="156"/>
    </row>
    <row r="615" spans="57:57">
      <c r="BE615" s="156"/>
    </row>
    <row r="616" spans="57:57">
      <c r="BE616" s="156"/>
    </row>
    <row r="617" spans="57:57">
      <c r="BE617" s="156"/>
    </row>
    <row r="618" spans="57:57">
      <c r="BE618" s="156"/>
    </row>
    <row r="619" spans="57:57">
      <c r="BE619" s="156"/>
    </row>
    <row r="620" spans="57:57">
      <c r="BE620" s="156"/>
    </row>
    <row r="621" spans="57:57">
      <c r="BE621" s="156"/>
    </row>
    <row r="622" spans="57:57">
      <c r="BE622" s="156"/>
    </row>
    <row r="623" spans="57:57">
      <c r="BE623" s="156"/>
    </row>
    <row r="624" spans="57:57">
      <c r="BE624" s="156"/>
    </row>
    <row r="625" spans="57:57">
      <c r="BE625" s="156"/>
    </row>
    <row r="626" spans="57:57">
      <c r="BE626" s="156"/>
    </row>
    <row r="627" spans="57:57">
      <c r="BE627" s="156"/>
    </row>
    <row r="628" spans="57:57">
      <c r="BE628" s="156"/>
    </row>
    <row r="629" spans="57:57">
      <c r="BE629" s="156"/>
    </row>
    <row r="630" spans="57:57">
      <c r="BE630" s="156"/>
    </row>
    <row r="631" spans="57:57">
      <c r="BE631" s="156"/>
    </row>
    <row r="632" spans="57:57">
      <c r="BE632" s="156"/>
    </row>
    <row r="633" spans="57:57">
      <c r="BE633" s="156"/>
    </row>
    <row r="634" spans="57:57">
      <c r="BE634" s="156"/>
    </row>
    <row r="635" spans="57:57">
      <c r="BE635" s="156"/>
    </row>
    <row r="636" spans="57:57">
      <c r="BE636" s="156"/>
    </row>
    <row r="637" spans="57:57">
      <c r="BE637" s="156"/>
    </row>
    <row r="638" spans="57:57">
      <c r="BE638" s="156"/>
    </row>
    <row r="639" spans="57:57">
      <c r="BE639" s="156"/>
    </row>
    <row r="640" spans="57:57">
      <c r="BE640" s="156"/>
    </row>
    <row r="641" spans="57:57">
      <c r="BE641" s="156"/>
    </row>
    <row r="642" spans="57:57">
      <c r="BE642" s="156"/>
    </row>
    <row r="643" spans="57:57">
      <c r="BE643" s="156"/>
    </row>
    <row r="644" spans="57:57">
      <c r="BE644" s="156"/>
    </row>
    <row r="645" spans="57:57">
      <c r="BE645" s="156"/>
    </row>
    <row r="646" spans="57:57">
      <c r="BE646" s="156"/>
    </row>
    <row r="647" spans="57:57">
      <c r="BE647" s="156"/>
    </row>
    <row r="648" spans="57:57">
      <c r="BE648" s="156"/>
    </row>
    <row r="649" spans="57:57">
      <c r="BE649" s="156"/>
    </row>
    <row r="650" spans="57:57">
      <c r="BE650" s="156"/>
    </row>
    <row r="651" spans="57:57">
      <c r="BE651" s="156"/>
    </row>
    <row r="652" spans="57:57">
      <c r="BE652" s="156"/>
    </row>
    <row r="653" spans="57:57">
      <c r="BE653" s="156"/>
    </row>
    <row r="654" spans="57:57">
      <c r="BE654" s="156"/>
    </row>
    <row r="655" spans="57:57">
      <c r="BE655" s="156"/>
    </row>
    <row r="656" spans="57:57">
      <c r="BE656" s="156"/>
    </row>
    <row r="657" spans="57:57">
      <c r="BE657" s="156"/>
    </row>
    <row r="658" spans="57:57">
      <c r="BE658" s="156"/>
    </row>
    <row r="659" spans="57:57">
      <c r="BE659" s="156"/>
    </row>
    <row r="660" spans="57:57">
      <c r="BE660" s="156"/>
    </row>
    <row r="661" spans="57:57">
      <c r="BE661" s="156"/>
    </row>
    <row r="662" spans="57:57">
      <c r="BE662" s="156"/>
    </row>
    <row r="663" spans="57:57">
      <c r="BE663" s="156"/>
    </row>
    <row r="664" spans="57:57">
      <c r="BE664" s="156"/>
    </row>
    <row r="665" spans="57:57">
      <c r="BE665" s="156"/>
    </row>
    <row r="666" spans="57:57">
      <c r="BE666" s="156"/>
    </row>
    <row r="667" spans="57:57">
      <c r="BE667" s="156"/>
    </row>
    <row r="668" spans="57:57">
      <c r="BE668" s="156"/>
    </row>
    <row r="669" spans="57:57">
      <c r="BE669" s="156"/>
    </row>
    <row r="670" spans="57:57">
      <c r="BE670" s="156"/>
    </row>
    <row r="671" spans="57:57">
      <c r="BE671" s="156"/>
    </row>
    <row r="672" spans="57:57">
      <c r="BE672" s="156"/>
    </row>
    <row r="673" spans="57:57">
      <c r="BE673" s="156"/>
    </row>
    <row r="674" spans="57:57">
      <c r="BE674" s="156"/>
    </row>
    <row r="675" spans="57:57">
      <c r="BE675" s="156"/>
    </row>
    <row r="676" spans="57:57">
      <c r="BE676" s="156"/>
    </row>
    <row r="677" spans="57:57">
      <c r="BE677" s="156"/>
    </row>
    <row r="678" spans="57:57">
      <c r="BE678" s="156"/>
    </row>
    <row r="679" spans="57:57">
      <c r="BE679" s="156"/>
    </row>
    <row r="680" spans="57:57">
      <c r="BE680" s="156"/>
    </row>
    <row r="681" spans="57:57">
      <c r="BE681" s="156"/>
    </row>
    <row r="682" spans="57:57">
      <c r="BE682" s="156"/>
    </row>
    <row r="683" spans="57:57">
      <c r="BE683" s="156"/>
    </row>
    <row r="684" spans="57:57">
      <c r="BE684" s="156"/>
    </row>
    <row r="685" spans="57:57">
      <c r="BE685" s="156"/>
    </row>
    <row r="686" spans="57:57">
      <c r="BE686" s="156"/>
    </row>
    <row r="687" spans="57:57">
      <c r="BE687" s="156"/>
    </row>
    <row r="688" spans="57:57">
      <c r="BE688" s="156"/>
    </row>
    <row r="689" spans="57:57">
      <c r="BE689" s="156"/>
    </row>
    <row r="690" spans="57:57">
      <c r="BE690" s="156"/>
    </row>
    <row r="691" spans="57:57">
      <c r="BE691" s="156"/>
    </row>
    <row r="692" spans="57:57">
      <c r="BE692" s="156"/>
    </row>
    <row r="693" spans="57:57">
      <c r="BE693" s="156"/>
    </row>
    <row r="694" spans="57:57">
      <c r="BE694" s="156"/>
    </row>
    <row r="695" spans="57:57">
      <c r="BE695" s="156"/>
    </row>
    <row r="696" spans="57:57">
      <c r="BE696" s="156"/>
    </row>
    <row r="697" spans="57:57">
      <c r="BE697" s="156"/>
    </row>
    <row r="698" spans="57:57">
      <c r="BE698" s="156"/>
    </row>
    <row r="699" spans="57:57">
      <c r="BE699" s="156"/>
    </row>
    <row r="700" spans="57:57">
      <c r="BE700" s="156"/>
    </row>
    <row r="701" spans="57:57">
      <c r="BE701" s="156"/>
    </row>
    <row r="702" spans="57:57">
      <c r="BE702" s="156"/>
    </row>
    <row r="703" spans="57:57">
      <c r="BE703" s="156"/>
    </row>
    <row r="704" spans="57:57">
      <c r="BE704" s="156"/>
    </row>
    <row r="705" spans="57:57">
      <c r="BE705" s="156"/>
    </row>
    <row r="706" spans="57:57">
      <c r="BE706" s="156"/>
    </row>
    <row r="707" spans="57:57">
      <c r="BE707" s="156"/>
    </row>
    <row r="708" spans="57:57">
      <c r="BE708" s="156"/>
    </row>
    <row r="709" spans="57:57">
      <c r="BE709" s="156"/>
    </row>
    <row r="710" spans="57:57">
      <c r="BE710" s="156"/>
    </row>
    <row r="711" spans="57:57">
      <c r="BE711" s="156"/>
    </row>
    <row r="712" spans="57:57">
      <c r="BE712" s="156"/>
    </row>
    <row r="713" spans="57:57">
      <c r="BE713" s="156"/>
    </row>
    <row r="714" spans="57:57">
      <c r="BE714" s="156"/>
    </row>
    <row r="715" spans="57:57">
      <c r="BE715" s="156"/>
    </row>
    <row r="716" spans="57:57">
      <c r="BE716" s="156"/>
    </row>
    <row r="717" spans="57:57">
      <c r="BE717" s="156"/>
    </row>
    <row r="718" spans="57:57">
      <c r="BE718" s="156"/>
    </row>
    <row r="719" spans="57:57">
      <c r="BE719" s="156"/>
    </row>
    <row r="720" spans="57:57">
      <c r="BE720" s="156"/>
    </row>
    <row r="721" spans="57:57">
      <c r="BE721" s="156"/>
    </row>
    <row r="722" spans="57:57">
      <c r="BE722" s="156"/>
    </row>
    <row r="723" spans="57:57">
      <c r="BE723" s="156"/>
    </row>
    <row r="724" spans="57:57">
      <c r="BE724" s="156"/>
    </row>
    <row r="725" spans="57:57">
      <c r="BE725" s="156"/>
    </row>
    <row r="726" spans="57:57">
      <c r="BE726" s="156"/>
    </row>
    <row r="727" spans="57:57">
      <c r="BE727" s="156"/>
    </row>
    <row r="728" spans="57:57">
      <c r="BE728" s="156"/>
    </row>
    <row r="729" spans="57:57">
      <c r="BE729" s="156"/>
    </row>
    <row r="730" spans="57:57">
      <c r="BE730" s="156"/>
    </row>
    <row r="731" spans="57:57">
      <c r="BE731" s="156"/>
    </row>
    <row r="732" spans="57:57">
      <c r="BE732" s="156"/>
    </row>
    <row r="733" spans="57:57">
      <c r="BE733" s="156"/>
    </row>
    <row r="734" spans="57:57">
      <c r="BE734" s="156"/>
    </row>
    <row r="735" spans="57:57">
      <c r="BE735" s="156"/>
    </row>
    <row r="736" spans="57:57">
      <c r="BE736" s="156"/>
    </row>
    <row r="737" spans="57:57">
      <c r="BE737" s="156"/>
    </row>
    <row r="738" spans="57:57">
      <c r="BE738" s="156"/>
    </row>
    <row r="739" spans="57:57">
      <c r="BE739" s="156"/>
    </row>
    <row r="740" spans="57:57">
      <c r="BE740" s="156"/>
    </row>
    <row r="741" spans="57:57">
      <c r="BE741" s="156"/>
    </row>
    <row r="742" spans="57:57">
      <c r="BE742" s="156"/>
    </row>
    <row r="743" spans="57:57">
      <c r="BE743" s="156"/>
    </row>
    <row r="744" spans="57:57">
      <c r="BE744" s="156"/>
    </row>
    <row r="745" spans="57:57">
      <c r="BE745" s="156"/>
    </row>
    <row r="746" spans="57:57">
      <c r="BE746" s="156"/>
    </row>
    <row r="747" spans="57:57">
      <c r="BE747" s="156"/>
    </row>
    <row r="748" spans="57:57">
      <c r="BE748" s="156"/>
    </row>
    <row r="749" spans="57:57">
      <c r="BE749" s="156"/>
    </row>
    <row r="750" spans="57:57">
      <c r="BE750" s="156"/>
    </row>
    <row r="751" spans="57:57">
      <c r="BE751" s="156"/>
    </row>
    <row r="752" spans="57:57">
      <c r="BE752" s="156"/>
    </row>
    <row r="753" spans="57:57">
      <c r="BE753" s="156"/>
    </row>
    <row r="754" spans="57:57">
      <c r="BE754" s="156"/>
    </row>
    <row r="755" spans="57:57">
      <c r="BE755" s="156"/>
    </row>
    <row r="756" spans="57:57">
      <c r="BE756" s="156"/>
    </row>
    <row r="757" spans="57:57">
      <c r="BE757" s="156"/>
    </row>
    <row r="758" spans="57:57">
      <c r="BE758" s="156"/>
    </row>
    <row r="759" spans="57:57">
      <c r="BE759" s="156"/>
    </row>
    <row r="760" spans="57:57">
      <c r="BE760" s="156"/>
    </row>
    <row r="761" spans="57:57">
      <c r="BE761" s="156"/>
    </row>
    <row r="762" spans="57:57">
      <c r="BE762" s="156"/>
    </row>
    <row r="763" spans="57:57">
      <c r="BE763" s="156"/>
    </row>
    <row r="764" spans="57:57">
      <c r="BE764" s="156"/>
    </row>
    <row r="765" spans="57:57">
      <c r="BE765" s="156"/>
    </row>
    <row r="766" spans="57:57">
      <c r="BE766" s="156"/>
    </row>
    <row r="767" spans="57:57">
      <c r="BE767" s="156"/>
    </row>
    <row r="768" spans="57:57">
      <c r="BE768" s="156"/>
    </row>
    <row r="769" spans="57:57">
      <c r="BE769" s="156"/>
    </row>
    <row r="770" spans="57:57">
      <c r="BE770" s="156"/>
    </row>
    <row r="771" spans="57:57">
      <c r="BE771" s="156"/>
    </row>
    <row r="772" spans="57:57">
      <c r="BE772" s="156"/>
    </row>
    <row r="773" spans="57:57">
      <c r="BE773" s="156"/>
    </row>
    <row r="774" spans="57:57">
      <c r="BE774" s="156"/>
    </row>
    <row r="775" spans="57:57">
      <c r="BE775" s="156"/>
    </row>
    <row r="776" spans="57:57">
      <c r="BE776" s="156"/>
    </row>
    <row r="777" spans="57:57">
      <c r="BE777" s="156"/>
    </row>
    <row r="778" spans="57:57">
      <c r="BE778" s="156"/>
    </row>
    <row r="779" spans="57:57">
      <c r="BE779" s="156"/>
    </row>
    <row r="780" spans="57:57">
      <c r="BE780" s="156"/>
    </row>
    <row r="781" spans="57:57">
      <c r="BE781" s="156"/>
    </row>
    <row r="782" spans="57:57">
      <c r="BE782" s="156"/>
    </row>
    <row r="783" spans="57:57">
      <c r="BE783" s="156"/>
    </row>
    <row r="784" spans="57:57">
      <c r="BE784" s="156"/>
    </row>
    <row r="785" spans="57:57">
      <c r="BE785" s="156"/>
    </row>
    <row r="786" spans="57:57">
      <c r="BE786" s="156"/>
    </row>
    <row r="787" spans="57:57">
      <c r="BE787" s="156"/>
    </row>
    <row r="788" spans="57:57">
      <c r="BE788" s="156"/>
    </row>
    <row r="789" spans="57:57">
      <c r="BE789" s="156"/>
    </row>
    <row r="790" spans="57:57">
      <c r="BE790" s="156"/>
    </row>
    <row r="791" spans="57:57">
      <c r="BE791" s="156"/>
    </row>
    <row r="792" spans="57:57">
      <c r="BE792" s="156"/>
    </row>
    <row r="793" spans="57:57">
      <c r="BE793" s="156"/>
    </row>
    <row r="794" spans="57:57">
      <c r="BE794" s="156"/>
    </row>
    <row r="795" spans="57:57">
      <c r="BE795" s="156"/>
    </row>
    <row r="796" spans="57:57">
      <c r="BE796" s="156"/>
    </row>
    <row r="797" spans="57:57">
      <c r="BE797" s="156"/>
    </row>
    <row r="798" spans="57:57">
      <c r="BE798" s="156"/>
    </row>
    <row r="799" spans="57:57">
      <c r="BE799" s="156"/>
    </row>
    <row r="800" spans="57:57">
      <c r="BE800" s="156"/>
    </row>
    <row r="801" spans="57:57">
      <c r="BE801" s="156"/>
    </row>
    <row r="802" spans="57:57">
      <c r="BE802" s="156"/>
    </row>
    <row r="803" spans="57:57">
      <c r="BE803" s="156"/>
    </row>
    <row r="804" spans="57:57">
      <c r="BE804" s="156"/>
    </row>
    <row r="805" spans="57:57">
      <c r="BE805" s="156"/>
    </row>
    <row r="806" spans="57:57">
      <c r="BE806" s="156"/>
    </row>
    <row r="807" spans="57:57">
      <c r="BE807" s="156"/>
    </row>
    <row r="808" spans="57:57">
      <c r="BE808" s="156"/>
    </row>
    <row r="809" spans="57:57">
      <c r="BE809" s="156"/>
    </row>
    <row r="810" spans="57:57">
      <c r="BE810" s="156"/>
    </row>
    <row r="811" spans="57:57">
      <c r="BE811" s="156"/>
    </row>
    <row r="812" spans="57:57">
      <c r="BE812" s="156"/>
    </row>
    <row r="813" spans="57:57">
      <c r="BE813" s="156"/>
    </row>
    <row r="814" spans="57:57">
      <c r="BE814" s="156"/>
    </row>
    <row r="815" spans="57:57">
      <c r="BE815" s="156"/>
    </row>
    <row r="816" spans="57:57">
      <c r="BE816" s="156"/>
    </row>
    <row r="817" spans="57:57">
      <c r="BE817" s="156"/>
    </row>
    <row r="818" spans="57:57">
      <c r="BE818" s="156"/>
    </row>
    <row r="819" spans="57:57">
      <c r="BE819" s="156"/>
    </row>
    <row r="820" spans="57:57">
      <c r="BE820" s="156"/>
    </row>
    <row r="821" spans="57:57">
      <c r="BE821" s="156"/>
    </row>
    <row r="822" spans="57:57">
      <c r="BE822" s="156"/>
    </row>
    <row r="823" spans="57:57">
      <c r="BE823" s="156"/>
    </row>
    <row r="824" spans="57:57">
      <c r="BE824" s="156"/>
    </row>
    <row r="825" spans="57:57">
      <c r="BE825" s="156"/>
    </row>
    <row r="826" spans="57:57">
      <c r="BE826" s="156"/>
    </row>
    <row r="827" spans="57:57">
      <c r="BE827" s="156"/>
    </row>
    <row r="828" spans="57:57">
      <c r="BE828" s="156"/>
    </row>
    <row r="829" spans="57:57">
      <c r="BE829" s="156"/>
    </row>
    <row r="830" spans="57:57">
      <c r="BE830" s="156"/>
    </row>
    <row r="831" spans="57:57">
      <c r="BE831" s="156"/>
    </row>
    <row r="832" spans="57:57">
      <c r="BE832" s="156"/>
    </row>
    <row r="833" spans="57:57">
      <c r="BE833" s="156"/>
    </row>
    <row r="834" spans="57:57">
      <c r="BE834" s="156"/>
    </row>
    <row r="835" spans="57:57">
      <c r="BE835" s="156"/>
    </row>
    <row r="836" spans="57:57">
      <c r="BE836" s="156"/>
    </row>
    <row r="837" spans="57:57">
      <c r="BE837" s="156"/>
    </row>
    <row r="838" spans="57:57">
      <c r="BE838" s="156"/>
    </row>
    <row r="839" spans="57:57">
      <c r="BE839" s="156"/>
    </row>
    <row r="840" spans="57:57">
      <c r="BE840" s="156"/>
    </row>
    <row r="841" spans="57:57">
      <c r="BE841" s="156"/>
    </row>
    <row r="842" spans="57:57">
      <c r="BE842" s="156"/>
    </row>
    <row r="843" spans="57:57">
      <c r="BE843" s="156"/>
    </row>
    <row r="844" spans="57:57">
      <c r="BE844" s="156"/>
    </row>
    <row r="845" spans="57:57">
      <c r="BE845" s="156"/>
    </row>
    <row r="846" spans="57:57">
      <c r="BE846" s="156"/>
    </row>
    <row r="847" spans="57:57">
      <c r="BE847" s="156"/>
    </row>
    <row r="848" spans="57:57">
      <c r="BE848" s="156"/>
    </row>
    <row r="849" spans="57:57">
      <c r="BE849" s="156"/>
    </row>
    <row r="850" spans="57:57">
      <c r="BE850" s="156"/>
    </row>
    <row r="851" spans="57:57">
      <c r="BE851" s="156"/>
    </row>
    <row r="852" spans="57:57">
      <c r="BE852" s="156"/>
    </row>
    <row r="853" spans="57:57">
      <c r="BE853" s="156"/>
    </row>
    <row r="854" spans="57:57">
      <c r="BE854" s="156"/>
    </row>
    <row r="855" spans="57:57">
      <c r="BE855" s="156"/>
    </row>
    <row r="856" spans="57:57">
      <c r="BE856" s="156"/>
    </row>
    <row r="857" spans="57:57">
      <c r="BE857" s="156"/>
    </row>
    <row r="858" spans="57:57">
      <c r="BE858" s="156"/>
    </row>
    <row r="859" spans="57:57">
      <c r="BE859" s="156"/>
    </row>
    <row r="860" spans="57:57">
      <c r="BE860" s="156"/>
    </row>
    <row r="861" spans="57:57">
      <c r="BE861" s="156"/>
    </row>
    <row r="862" spans="57:57">
      <c r="BE862" s="156"/>
    </row>
    <row r="863" spans="57:57">
      <c r="BE863" s="156"/>
    </row>
    <row r="864" spans="57:57">
      <c r="BE864" s="156"/>
    </row>
    <row r="865" spans="57:57">
      <c r="BE865" s="156"/>
    </row>
    <row r="866" spans="57:57">
      <c r="BE866" s="156"/>
    </row>
    <row r="867" spans="57:57">
      <c r="BE867" s="156"/>
    </row>
    <row r="868" spans="57:57">
      <c r="BE868" s="156"/>
    </row>
    <row r="869" spans="57:57">
      <c r="BE869" s="156"/>
    </row>
    <row r="870" spans="57:57">
      <c r="BE870" s="156"/>
    </row>
    <row r="871" spans="57:57">
      <c r="BE871" s="156"/>
    </row>
    <row r="872" spans="57:57">
      <c r="BE872" s="156"/>
    </row>
    <row r="873" spans="57:57">
      <c r="BE873" s="156"/>
    </row>
    <row r="874" spans="57:57">
      <c r="BE874" s="156"/>
    </row>
    <row r="875" spans="57:57">
      <c r="BE875" s="156"/>
    </row>
    <row r="876" spans="57:57">
      <c r="BE876" s="156"/>
    </row>
    <row r="877" spans="57:57">
      <c r="BE877" s="156"/>
    </row>
    <row r="878" spans="57:57">
      <c r="BE878" s="156"/>
    </row>
    <row r="879" spans="57:57">
      <c r="BE879" s="156"/>
    </row>
    <row r="880" spans="57:57">
      <c r="BE880" s="156"/>
    </row>
    <row r="881" spans="57:57">
      <c r="BE881" s="156"/>
    </row>
    <row r="882" spans="57:57">
      <c r="BE882" s="156"/>
    </row>
    <row r="883" spans="57:57">
      <c r="BE883" s="156"/>
    </row>
    <row r="884" spans="57:57">
      <c r="BE884" s="156"/>
    </row>
    <row r="885" spans="57:57">
      <c r="BE885" s="156"/>
    </row>
    <row r="886" spans="57:57">
      <c r="BE886" s="156"/>
    </row>
    <row r="887" spans="57:57">
      <c r="BE887" s="156"/>
    </row>
    <row r="888" spans="57:57">
      <c r="BE888" s="156"/>
    </row>
    <row r="889" spans="57:57">
      <c r="BE889" s="156"/>
    </row>
    <row r="890" spans="57:57">
      <c r="BE890" s="156"/>
    </row>
    <row r="891" spans="57:57">
      <c r="BE891" s="156"/>
    </row>
    <row r="892" spans="57:57">
      <c r="BE892" s="156"/>
    </row>
    <row r="893" spans="57:57">
      <c r="BE893" s="156"/>
    </row>
    <row r="894" spans="57:57">
      <c r="BE894" s="156"/>
    </row>
    <row r="895" spans="57:57">
      <c r="BE895" s="156"/>
    </row>
    <row r="896" spans="57:57">
      <c r="BE896" s="156"/>
    </row>
    <row r="897" spans="57:57">
      <c r="BE897" s="156"/>
    </row>
    <row r="898" spans="57:57">
      <c r="BE898" s="156"/>
    </row>
    <row r="899" spans="57:57">
      <c r="BE899" s="156"/>
    </row>
    <row r="900" spans="57:57">
      <c r="BE900" s="156"/>
    </row>
    <row r="901" spans="57:57">
      <c r="BE901" s="156"/>
    </row>
    <row r="902" spans="57:57">
      <c r="BE902" s="156"/>
    </row>
    <row r="903" spans="57:57">
      <c r="BE903" s="156"/>
    </row>
    <row r="904" spans="57:57">
      <c r="BE904" s="156"/>
    </row>
    <row r="905" spans="57:57">
      <c r="BE905" s="156"/>
    </row>
    <row r="906" spans="57:57">
      <c r="BE906" s="156"/>
    </row>
    <row r="907" spans="57:57">
      <c r="BE907" s="156"/>
    </row>
    <row r="908" spans="57:57">
      <c r="BE908" s="156"/>
    </row>
    <row r="909" spans="57:57">
      <c r="BE909" s="156"/>
    </row>
    <row r="910" spans="57:57">
      <c r="BE910" s="156"/>
    </row>
    <row r="911" spans="57:57">
      <c r="BE911" s="156"/>
    </row>
    <row r="912" spans="57:57">
      <c r="BE912" s="156"/>
    </row>
    <row r="913" spans="57:57">
      <c r="BE913" s="156"/>
    </row>
    <row r="914" spans="57:57">
      <c r="BE914" s="156"/>
    </row>
    <row r="915" spans="57:57">
      <c r="BE915" s="156"/>
    </row>
    <row r="916" spans="57:57">
      <c r="BE916" s="156"/>
    </row>
    <row r="917" spans="57:57">
      <c r="BE917" s="156"/>
    </row>
    <row r="918" spans="57:57">
      <c r="BE918" s="156"/>
    </row>
    <row r="919" spans="57:57">
      <c r="BE919" s="156"/>
    </row>
    <row r="920" spans="57:57">
      <c r="BE920" s="156"/>
    </row>
    <row r="921" spans="57:57">
      <c r="BE921" s="156"/>
    </row>
    <row r="922" spans="57:57">
      <c r="BE922" s="156"/>
    </row>
    <row r="923" spans="57:57">
      <c r="BE923" s="156"/>
    </row>
    <row r="924" spans="57:57">
      <c r="BE924" s="156"/>
    </row>
    <row r="925" spans="57:57">
      <c r="BE925" s="156"/>
    </row>
    <row r="926" spans="57:57">
      <c r="BE926" s="156"/>
    </row>
    <row r="927" spans="57:57">
      <c r="BE927" s="156"/>
    </row>
    <row r="928" spans="57:57">
      <c r="BE928" s="156"/>
    </row>
    <row r="929" spans="57:57">
      <c r="BE929" s="156"/>
    </row>
    <row r="930" spans="57:57">
      <c r="BE930" s="156"/>
    </row>
    <row r="931" spans="57:57">
      <c r="BE931" s="156"/>
    </row>
    <row r="932" spans="57:57">
      <c r="BE932" s="156"/>
    </row>
    <row r="933" spans="57:57">
      <c r="BE933" s="156"/>
    </row>
    <row r="934" spans="57:57">
      <c r="BE934" s="156"/>
    </row>
    <row r="935" spans="57:57">
      <c r="BE935" s="156"/>
    </row>
    <row r="936" spans="57:57">
      <c r="BE936" s="156"/>
    </row>
    <row r="937" spans="57:57">
      <c r="BE937" s="156"/>
    </row>
    <row r="938" spans="57:57">
      <c r="BE938" s="156"/>
    </row>
    <row r="939" spans="57:57">
      <c r="BE939" s="156"/>
    </row>
    <row r="940" spans="57:57">
      <c r="BE940" s="156"/>
    </row>
    <row r="941" spans="57:57">
      <c r="BE941" s="156"/>
    </row>
    <row r="942" spans="57:57">
      <c r="BE942" s="156"/>
    </row>
    <row r="943" spans="57:57">
      <c r="BE943" s="156"/>
    </row>
    <row r="944" spans="57:57">
      <c r="BE944" s="156"/>
    </row>
    <row r="945" spans="57:57">
      <c r="BE945" s="156"/>
    </row>
    <row r="946" spans="57:57">
      <c r="BE946" s="156"/>
    </row>
    <row r="947" spans="57:57">
      <c r="BE947" s="156"/>
    </row>
    <row r="948" spans="57:57">
      <c r="BE948" s="156"/>
    </row>
    <row r="949" spans="57:57">
      <c r="BE949" s="156"/>
    </row>
    <row r="950" spans="57:57">
      <c r="BE950" s="156"/>
    </row>
    <row r="951" spans="57:57">
      <c r="BE951" s="156"/>
    </row>
    <row r="952" spans="57:57">
      <c r="BE952" s="156"/>
    </row>
    <row r="953" spans="57:57">
      <c r="BE953" s="156"/>
    </row>
    <row r="954" spans="57:57">
      <c r="BE954" s="156"/>
    </row>
    <row r="955" spans="57:57">
      <c r="BE955" s="156"/>
    </row>
    <row r="956" spans="57:57">
      <c r="BE956" s="156"/>
    </row>
    <row r="957" spans="57:57">
      <c r="BE957" s="156"/>
    </row>
    <row r="958" spans="57:57">
      <c r="BE958" s="156"/>
    </row>
    <row r="959" spans="57:57">
      <c r="BE959" s="156"/>
    </row>
    <row r="960" spans="57:57">
      <c r="BE960" s="156"/>
    </row>
    <row r="961" spans="57:57">
      <c r="BE961" s="156"/>
    </row>
    <row r="962" spans="57:57">
      <c r="BE962" s="156"/>
    </row>
    <row r="963" spans="57:57">
      <c r="BE963" s="156"/>
    </row>
    <row r="964" spans="57:57">
      <c r="BE964" s="156"/>
    </row>
    <row r="965" spans="57:57">
      <c r="BE965" s="156"/>
    </row>
    <row r="966" spans="57:57">
      <c r="BE966" s="156"/>
    </row>
    <row r="967" spans="57:57">
      <c r="BE967" s="156"/>
    </row>
    <row r="968" spans="57:57">
      <c r="BE968" s="156"/>
    </row>
    <row r="969" spans="57:57">
      <c r="BE969" s="156"/>
    </row>
    <row r="970" spans="57:57">
      <c r="BE970" s="156"/>
    </row>
    <row r="971" spans="57:57">
      <c r="BE971" s="156"/>
    </row>
    <row r="972" spans="57:57">
      <c r="BE972" s="156"/>
    </row>
    <row r="973" spans="57:57">
      <c r="BE973" s="156"/>
    </row>
    <row r="974" spans="57:57">
      <c r="BE974" s="156"/>
    </row>
    <row r="975" spans="57:57">
      <c r="BE975" s="156"/>
    </row>
    <row r="976" spans="57:57">
      <c r="BE976" s="156"/>
    </row>
    <row r="977" spans="57:57">
      <c r="BE977" s="156"/>
    </row>
    <row r="978" spans="57:57">
      <c r="BE978" s="156"/>
    </row>
    <row r="979" spans="57:57">
      <c r="BE979" s="156"/>
    </row>
    <row r="980" spans="57:57">
      <c r="BE980" s="156"/>
    </row>
    <row r="981" spans="57:57">
      <c r="BE981" s="156"/>
    </row>
    <row r="982" spans="57:57">
      <c r="BE982" s="156"/>
    </row>
    <row r="983" spans="57:57">
      <c r="BE983" s="156"/>
    </row>
    <row r="984" spans="57:57">
      <c r="BE984" s="156"/>
    </row>
    <row r="985" spans="57:57">
      <c r="BE985" s="156"/>
    </row>
    <row r="986" spans="57:57">
      <c r="BE986" s="156"/>
    </row>
    <row r="987" spans="57:57">
      <c r="BE987" s="156"/>
    </row>
    <row r="988" spans="57:57">
      <c r="BE988" s="156"/>
    </row>
    <row r="989" spans="57:57">
      <c r="BE989" s="156"/>
    </row>
    <row r="990" spans="57:57">
      <c r="BE990" s="156"/>
    </row>
    <row r="991" spans="57:57">
      <c r="BE991" s="156"/>
    </row>
    <row r="992" spans="57:57">
      <c r="BE992" s="156"/>
    </row>
    <row r="993" spans="57:57">
      <c r="BE993" s="156"/>
    </row>
    <row r="994" spans="57:57">
      <c r="BE994" s="156"/>
    </row>
    <row r="995" spans="57:57">
      <c r="BE995" s="156"/>
    </row>
    <row r="996" spans="57:57">
      <c r="BE996" s="156"/>
    </row>
    <row r="997" spans="57:57">
      <c r="BE997" s="156"/>
    </row>
    <row r="998" spans="57:57">
      <c r="BE998" s="156"/>
    </row>
    <row r="999" spans="57:57">
      <c r="BE999" s="156"/>
    </row>
    <row r="1000" spans="57:57">
      <c r="BE1000" s="156"/>
    </row>
    <row r="1001" spans="57:57">
      <c r="BE1001" s="156"/>
    </row>
    <row r="1002" spans="57:57">
      <c r="BE1002" s="156"/>
    </row>
    <row r="1003" spans="57:57">
      <c r="BE1003" s="156"/>
    </row>
    <row r="1004" spans="57:57">
      <c r="BE1004" s="156"/>
    </row>
    <row r="1005" spans="57:57">
      <c r="BE1005" s="156"/>
    </row>
    <row r="1006" spans="57:57">
      <c r="BE1006" s="156"/>
    </row>
    <row r="1007" spans="57:57">
      <c r="BE1007" s="156"/>
    </row>
    <row r="1008" spans="57:57">
      <c r="BE1008" s="156"/>
    </row>
    <row r="1009" spans="57:57">
      <c r="BE1009" s="156"/>
    </row>
    <row r="1010" spans="57:57">
      <c r="BE1010" s="156"/>
    </row>
    <row r="1011" spans="57:57">
      <c r="BE1011" s="156"/>
    </row>
    <row r="1012" spans="57:57">
      <c r="BE1012" s="156"/>
    </row>
    <row r="1013" spans="57:57">
      <c r="BE1013" s="156"/>
    </row>
    <row r="1014" spans="57:57">
      <c r="BE1014" s="156"/>
    </row>
    <row r="1015" spans="57:57">
      <c r="BE1015" s="156"/>
    </row>
    <row r="1016" spans="57:57">
      <c r="BE1016" s="156"/>
    </row>
    <row r="1017" spans="57:57">
      <c r="BE1017" s="156"/>
    </row>
    <row r="1018" spans="57:57">
      <c r="BE1018" s="156"/>
    </row>
    <row r="1019" spans="57:57">
      <c r="BE1019" s="156"/>
    </row>
    <row r="1020" spans="57:57">
      <c r="BE1020" s="156"/>
    </row>
    <row r="1021" spans="57:57">
      <c r="BE1021" s="156"/>
    </row>
    <row r="1022" spans="57:57">
      <c r="BE1022" s="156"/>
    </row>
    <row r="1023" spans="57:57">
      <c r="BE1023" s="156"/>
    </row>
    <row r="1024" spans="57:57">
      <c r="BE1024" s="156"/>
    </row>
    <row r="1025" spans="57:57">
      <c r="BE1025" s="156"/>
    </row>
    <row r="1026" spans="57:57">
      <c r="BE1026" s="156"/>
    </row>
    <row r="1027" spans="57:57">
      <c r="BE1027" s="156"/>
    </row>
    <row r="1028" spans="57:57">
      <c r="BE1028" s="156"/>
    </row>
    <row r="1029" spans="57:57">
      <c r="BE1029" s="156"/>
    </row>
    <row r="1030" spans="57:57">
      <c r="BE1030" s="156"/>
    </row>
    <row r="1031" spans="57:57">
      <c r="BE1031" s="156"/>
    </row>
    <row r="1032" spans="57:57">
      <c r="BE1032" s="156"/>
    </row>
    <row r="1033" spans="57:57">
      <c r="BE1033" s="156"/>
    </row>
    <row r="1034" spans="57:57">
      <c r="BE1034" s="156"/>
    </row>
    <row r="1035" spans="57:57">
      <c r="BE1035" s="156"/>
    </row>
    <row r="1036" spans="57:57">
      <c r="BE1036" s="156"/>
    </row>
    <row r="1037" spans="57:57">
      <c r="BE1037" s="156"/>
    </row>
    <row r="1038" spans="57:57">
      <c r="BE1038" s="156"/>
    </row>
    <row r="1039" spans="57:57">
      <c r="BE1039" s="156"/>
    </row>
    <row r="1040" spans="57:57">
      <c r="BE1040" s="156"/>
    </row>
    <row r="1041" spans="57:57">
      <c r="BE1041" s="156"/>
    </row>
    <row r="1042" spans="57:57">
      <c r="BE1042" s="156"/>
    </row>
    <row r="1043" spans="57:57">
      <c r="BE1043" s="156"/>
    </row>
    <row r="1044" spans="57:57">
      <c r="BE1044" s="156"/>
    </row>
    <row r="1045" spans="57:57">
      <c r="BE1045" s="156"/>
    </row>
    <row r="1046" spans="57:57">
      <c r="BE1046" s="156"/>
    </row>
    <row r="1047" spans="57:57">
      <c r="BE1047" s="156"/>
    </row>
    <row r="1048" spans="57:57">
      <c r="BE1048" s="156"/>
    </row>
    <row r="1049" spans="57:57">
      <c r="BE1049" s="156"/>
    </row>
    <row r="1050" spans="57:57">
      <c r="BE1050" s="156"/>
    </row>
    <row r="1051" spans="57:57">
      <c r="BE1051" s="156"/>
    </row>
    <row r="1052" spans="57:57">
      <c r="BE1052" s="156"/>
    </row>
    <row r="1053" spans="57:57">
      <c r="BE1053" s="156"/>
    </row>
    <row r="1054" spans="57:57">
      <c r="BE1054" s="156"/>
    </row>
    <row r="1055" spans="57:57">
      <c r="BE1055" s="156"/>
    </row>
    <row r="1056" spans="57:57">
      <c r="BE1056" s="156"/>
    </row>
    <row r="1057" spans="57:57">
      <c r="BE1057" s="156"/>
    </row>
    <row r="1058" spans="57:57">
      <c r="BE1058" s="156"/>
    </row>
    <row r="1059" spans="57:57">
      <c r="BE1059" s="156"/>
    </row>
    <row r="1060" spans="57:57">
      <c r="BE1060" s="156"/>
    </row>
    <row r="1061" spans="57:57">
      <c r="BE1061" s="156"/>
    </row>
    <row r="1062" spans="57:57">
      <c r="BE1062" s="156"/>
    </row>
    <row r="1063" spans="57:57">
      <c r="BE1063" s="156"/>
    </row>
    <row r="1064" spans="57:57">
      <c r="BE1064" s="156"/>
    </row>
    <row r="1065" spans="57:57">
      <c r="BE1065" s="156"/>
    </row>
    <row r="1066" spans="57:57">
      <c r="BE1066" s="156"/>
    </row>
    <row r="1067" spans="57:57">
      <c r="BE1067" s="156"/>
    </row>
    <row r="1068" spans="57:57">
      <c r="BE1068" s="156"/>
    </row>
    <row r="1069" spans="57:57">
      <c r="BE1069" s="156"/>
    </row>
    <row r="1070" spans="57:57">
      <c r="BE1070" s="156"/>
    </row>
    <row r="1071" spans="57:57">
      <c r="BE1071" s="156"/>
    </row>
    <row r="1072" spans="57:57">
      <c r="BE1072" s="156"/>
    </row>
    <row r="1073" spans="57:57">
      <c r="BE1073" s="156"/>
    </row>
    <row r="1074" spans="57:57">
      <c r="BE1074" s="156"/>
    </row>
    <row r="1075" spans="57:57">
      <c r="BE1075" s="156"/>
    </row>
    <row r="1076" spans="57:57">
      <c r="BE1076" s="156"/>
    </row>
    <row r="1077" spans="57:57">
      <c r="BE1077" s="156"/>
    </row>
    <row r="1078" spans="57:57">
      <c r="BE1078" s="156"/>
    </row>
    <row r="1079" spans="57:57">
      <c r="BE1079" s="156"/>
    </row>
    <row r="1080" spans="57:57">
      <c r="BE1080" s="156"/>
    </row>
    <row r="1081" spans="57:57">
      <c r="BE1081" s="156"/>
    </row>
    <row r="1082" spans="57:57">
      <c r="BE1082" s="156"/>
    </row>
    <row r="1083" spans="57:57">
      <c r="BE1083" s="156"/>
    </row>
    <row r="1084" spans="57:57">
      <c r="BE1084" s="156"/>
    </row>
    <row r="1085" spans="57:57">
      <c r="BE1085" s="156"/>
    </row>
    <row r="1086" spans="57:57">
      <c r="BE1086" s="156"/>
    </row>
    <row r="1087" spans="57:57">
      <c r="BE1087" s="156"/>
    </row>
    <row r="1088" spans="57:57">
      <c r="BE1088" s="156"/>
    </row>
    <row r="1089" spans="57:57">
      <c r="BE1089" s="156"/>
    </row>
    <row r="1090" spans="57:57">
      <c r="BE1090" s="156"/>
    </row>
    <row r="1091" spans="57:57">
      <c r="BE1091" s="156"/>
    </row>
    <row r="1092" spans="57:57">
      <c r="BE1092" s="156"/>
    </row>
    <row r="1093" spans="57:57">
      <c r="BE1093" s="156"/>
    </row>
    <row r="1094" spans="57:57">
      <c r="BE1094" s="156"/>
    </row>
    <row r="1095" spans="57:57">
      <c r="BE1095" s="156"/>
    </row>
    <row r="1096" spans="57:57">
      <c r="BE1096" s="156"/>
    </row>
    <row r="1097" spans="57:57">
      <c r="BE1097" s="156"/>
    </row>
    <row r="1098" spans="57:57">
      <c r="BE1098" s="156"/>
    </row>
    <row r="1099" spans="57:57">
      <c r="BE1099" s="156"/>
    </row>
    <row r="1100" spans="57:57">
      <c r="BE1100" s="156"/>
    </row>
    <row r="1101" spans="57:57">
      <c r="BE1101" s="156"/>
    </row>
    <row r="1102" spans="57:57">
      <c r="BE1102" s="156"/>
    </row>
    <row r="1103" spans="57:57">
      <c r="BE1103" s="156"/>
    </row>
    <row r="1104" spans="57:57">
      <c r="BE1104" s="156"/>
    </row>
    <row r="1105" spans="57:57">
      <c r="BE1105" s="156"/>
    </row>
    <row r="1106" spans="57:57">
      <c r="BE1106" s="156"/>
    </row>
    <row r="1107" spans="57:57">
      <c r="BE1107" s="156"/>
    </row>
    <row r="1108" spans="57:57">
      <c r="BE1108" s="156"/>
    </row>
    <row r="1109" spans="57:57">
      <c r="BE1109" s="156"/>
    </row>
    <row r="1110" spans="57:57">
      <c r="BE1110" s="156"/>
    </row>
    <row r="1111" spans="57:57">
      <c r="BE1111" s="156"/>
    </row>
    <row r="1112" spans="57:57">
      <c r="BE1112" s="156"/>
    </row>
    <row r="1113" spans="57:57">
      <c r="BE1113" s="156"/>
    </row>
    <row r="1114" spans="57:57">
      <c r="BE1114" s="156"/>
    </row>
    <row r="1115" spans="57:57">
      <c r="BE1115" s="156"/>
    </row>
    <row r="1116" spans="57:57">
      <c r="BE1116" s="156"/>
    </row>
    <row r="1117" spans="57:57">
      <c r="BE1117" s="156"/>
    </row>
    <row r="1118" spans="57:57">
      <c r="BE1118" s="156"/>
    </row>
    <row r="1119" spans="57:57">
      <c r="BE1119" s="156"/>
    </row>
    <row r="1120" spans="57:57">
      <c r="BE1120" s="156"/>
    </row>
    <row r="1121" spans="57:57">
      <c r="BE1121" s="156"/>
    </row>
    <row r="1122" spans="57:57">
      <c r="BE1122" s="156"/>
    </row>
    <row r="1123" spans="57:57">
      <c r="BE1123" s="156"/>
    </row>
    <row r="1124" spans="57:57">
      <c r="BE1124" s="156"/>
    </row>
    <row r="1125" spans="57:57">
      <c r="BE1125" s="156"/>
    </row>
    <row r="1126" spans="57:57">
      <c r="BE1126" s="156"/>
    </row>
    <row r="1127" spans="57:57">
      <c r="BE1127" s="156"/>
    </row>
    <row r="1128" spans="57:57">
      <c r="BE1128" s="156"/>
    </row>
    <row r="1129" spans="57:57">
      <c r="BE1129" s="156"/>
    </row>
    <row r="1130" spans="57:57">
      <c r="BE1130" s="156"/>
    </row>
    <row r="1131" spans="57:57">
      <c r="BE1131" s="156"/>
    </row>
    <row r="1132" spans="57:57">
      <c r="BE1132" s="156"/>
    </row>
    <row r="1133" spans="57:57">
      <c r="BE1133" s="156"/>
    </row>
    <row r="1134" spans="57:57">
      <c r="BE1134" s="156"/>
    </row>
    <row r="1135" spans="57:57">
      <c r="BE1135" s="156"/>
    </row>
    <row r="1136" spans="57:57">
      <c r="BE1136" s="156"/>
    </row>
    <row r="1137" spans="57:57">
      <c r="BE1137" s="156"/>
    </row>
    <row r="1138" spans="57:57">
      <c r="BE1138" s="156"/>
    </row>
    <row r="1139" spans="57:57">
      <c r="BE1139" s="156"/>
    </row>
    <row r="1140" spans="57:57">
      <c r="BE1140" s="156"/>
    </row>
    <row r="1141" spans="57:57">
      <c r="BE1141" s="156"/>
    </row>
    <row r="1142" spans="57:57">
      <c r="BE1142" s="156"/>
    </row>
    <row r="1143" spans="57:57">
      <c r="BE1143" s="156"/>
    </row>
    <row r="1144" spans="57:57">
      <c r="BE1144" s="156"/>
    </row>
    <row r="1145" spans="57:57">
      <c r="BE1145" s="156"/>
    </row>
    <row r="1146" spans="57:57">
      <c r="BE1146" s="156"/>
    </row>
    <row r="1147" spans="57:57">
      <c r="BE1147" s="156"/>
    </row>
    <row r="1148" spans="57:57">
      <c r="BE1148" s="156"/>
    </row>
    <row r="1149" spans="57:57">
      <c r="BE1149" s="156"/>
    </row>
    <row r="1150" spans="57:57">
      <c r="BE1150" s="156"/>
    </row>
    <row r="1151" spans="57:57">
      <c r="BE1151" s="156"/>
    </row>
    <row r="1152" spans="57:57">
      <c r="BE1152" s="156"/>
    </row>
    <row r="1153" spans="57:57">
      <c r="BE1153" s="156"/>
    </row>
    <row r="1154" spans="57:57">
      <c r="BE1154" s="156"/>
    </row>
    <row r="1155" spans="57:57">
      <c r="BE1155" s="156"/>
    </row>
    <row r="1156" spans="57:57">
      <c r="BE1156" s="156"/>
    </row>
    <row r="1157" spans="57:57">
      <c r="BE1157" s="156"/>
    </row>
    <row r="1158" spans="57:57">
      <c r="BE1158" s="156"/>
    </row>
    <row r="1159" spans="57:57">
      <c r="BE1159" s="156"/>
    </row>
    <row r="1160" spans="57:57">
      <c r="BE1160" s="156"/>
    </row>
    <row r="1161" spans="57:57">
      <c r="BE1161" s="156"/>
    </row>
    <row r="1162" spans="57:57">
      <c r="BE1162" s="156"/>
    </row>
    <row r="1163" spans="57:57">
      <c r="BE1163" s="156"/>
    </row>
    <row r="1164" spans="57:57">
      <c r="BE1164" s="156"/>
    </row>
    <row r="1165" spans="57:57">
      <c r="BE1165" s="156"/>
    </row>
    <row r="1166" spans="57:57">
      <c r="BE1166" s="156"/>
    </row>
    <row r="1167" spans="57:57">
      <c r="BE1167" s="156"/>
    </row>
    <row r="1168" spans="57:57">
      <c r="BE1168" s="156"/>
    </row>
    <row r="1169" spans="57:57">
      <c r="BE1169" s="156"/>
    </row>
    <row r="1170" spans="57:57">
      <c r="BE1170" s="156"/>
    </row>
    <row r="1171" spans="57:57">
      <c r="BE1171" s="156"/>
    </row>
    <row r="1172" spans="57:57">
      <c r="BE1172" s="156"/>
    </row>
    <row r="1173" spans="57:57">
      <c r="BE1173" s="156"/>
    </row>
    <row r="1174" spans="57:57">
      <c r="BE1174" s="156"/>
    </row>
    <row r="1175" spans="57:57">
      <c r="BE1175" s="156"/>
    </row>
    <row r="1176" spans="57:57">
      <c r="BE1176" s="156"/>
    </row>
    <row r="1177" spans="57:57">
      <c r="BE1177" s="156"/>
    </row>
    <row r="1178" spans="57:57">
      <c r="BE1178" s="156"/>
    </row>
    <row r="1179" spans="57:57">
      <c r="BE1179" s="156"/>
    </row>
    <row r="1180" spans="57:57">
      <c r="BE1180" s="156"/>
    </row>
    <row r="1181" spans="57:57">
      <c r="BE1181" s="156"/>
    </row>
    <row r="1182" spans="57:57">
      <c r="BE1182" s="156"/>
    </row>
    <row r="1183" spans="57:57">
      <c r="BE1183" s="156"/>
    </row>
    <row r="1184" spans="57:57">
      <c r="BE1184" s="156"/>
    </row>
    <row r="1185" spans="57:57">
      <c r="BE1185" s="156"/>
    </row>
    <row r="1186" spans="57:57">
      <c r="BE1186" s="156"/>
    </row>
    <row r="1187" spans="57:57">
      <c r="BE1187" s="156"/>
    </row>
    <row r="1188" spans="57:57">
      <c r="BE1188" s="156"/>
    </row>
    <row r="1189" spans="57:57">
      <c r="BE1189" s="156"/>
    </row>
    <row r="1190" spans="57:57">
      <c r="BE1190" s="156"/>
    </row>
    <row r="1191" spans="57:57">
      <c r="BE1191" s="156"/>
    </row>
    <row r="1192" spans="57:57">
      <c r="BE1192" s="156"/>
    </row>
    <row r="1193" spans="57:57">
      <c r="BE1193" s="156"/>
    </row>
    <row r="1194" spans="57:57">
      <c r="BE1194" s="156"/>
    </row>
    <row r="1195" spans="57:57">
      <c r="BE1195" s="156"/>
    </row>
    <row r="1196" spans="57:57">
      <c r="BE1196" s="156"/>
    </row>
    <row r="1197" spans="57:57">
      <c r="BE1197" s="156"/>
    </row>
    <row r="1198" spans="57:57">
      <c r="BE1198" s="156"/>
    </row>
    <row r="1199" spans="57:57">
      <c r="BE1199" s="156"/>
    </row>
    <row r="1200" spans="57:57">
      <c r="BE1200" s="156"/>
    </row>
    <row r="1201" spans="57:57">
      <c r="BE1201" s="156"/>
    </row>
    <row r="1202" spans="57:57">
      <c r="BE1202" s="156"/>
    </row>
    <row r="1203" spans="57:57">
      <c r="BE1203" s="156"/>
    </row>
    <row r="1204" spans="57:57">
      <c r="BE1204" s="156"/>
    </row>
    <row r="1205" spans="57:57">
      <c r="BE1205" s="156"/>
    </row>
    <row r="1206" spans="57:57">
      <c r="BE1206" s="156"/>
    </row>
    <row r="1207" spans="57:57">
      <c r="BE1207" s="156"/>
    </row>
    <row r="1208" spans="57:57">
      <c r="BE1208" s="156"/>
    </row>
    <row r="1209" spans="57:57">
      <c r="BE1209" s="156"/>
    </row>
    <row r="1210" spans="57:57">
      <c r="BE1210" s="156"/>
    </row>
    <row r="1211" spans="57:57">
      <c r="BE1211" s="156"/>
    </row>
    <row r="1212" spans="57:57">
      <c r="BE1212" s="156"/>
    </row>
    <row r="1213" spans="57:57">
      <c r="BE1213" s="156"/>
    </row>
    <row r="1214" spans="57:57">
      <c r="BE1214" s="156"/>
    </row>
    <row r="1215" spans="57:57">
      <c r="BE1215" s="156"/>
    </row>
    <row r="1216" spans="57:57">
      <c r="BE1216" s="156"/>
    </row>
    <row r="1217" spans="57:57">
      <c r="BE1217" s="156"/>
    </row>
    <row r="1218" spans="57:57">
      <c r="BE1218" s="156"/>
    </row>
    <row r="1219" spans="57:57">
      <c r="BE1219" s="156"/>
    </row>
    <row r="1220" spans="57:57">
      <c r="BE1220" s="156"/>
    </row>
    <row r="1221" spans="57:57">
      <c r="BE1221" s="156"/>
    </row>
    <row r="1222" spans="57:57">
      <c r="BE1222" s="156"/>
    </row>
    <row r="1223" spans="57:57">
      <c r="BE1223" s="156"/>
    </row>
    <row r="1224" spans="57:57">
      <c r="BE1224" s="156"/>
    </row>
    <row r="1225" spans="57:57">
      <c r="BE1225" s="156"/>
    </row>
    <row r="1226" spans="57:57">
      <c r="BE1226" s="156"/>
    </row>
    <row r="1227" spans="57:57">
      <c r="BE1227" s="156"/>
    </row>
    <row r="1228" spans="57:57">
      <c r="BE1228" s="156"/>
    </row>
    <row r="1229" spans="57:57">
      <c r="BE1229" s="156"/>
    </row>
    <row r="1230" spans="57:57">
      <c r="BE1230" s="156"/>
    </row>
    <row r="1231" spans="57:57">
      <c r="BE1231" s="156"/>
    </row>
    <row r="1232" spans="57:57">
      <c r="BE1232" s="156"/>
    </row>
    <row r="1233" spans="57:57">
      <c r="BE1233" s="156"/>
    </row>
    <row r="1234" spans="57:57">
      <c r="BE1234" s="156"/>
    </row>
    <row r="1235" spans="57:57">
      <c r="BE1235" s="156"/>
    </row>
    <row r="1236" spans="57:57">
      <c r="BE1236" s="156"/>
    </row>
    <row r="1237" spans="57:57">
      <c r="BE1237" s="156"/>
    </row>
    <row r="1238" spans="57:57">
      <c r="BE1238" s="156"/>
    </row>
    <row r="1239" spans="57:57">
      <c r="BE1239" s="156"/>
    </row>
    <row r="1240" spans="57:57">
      <c r="BE1240" s="156"/>
    </row>
    <row r="1241" spans="57:57">
      <c r="BE1241" s="156"/>
    </row>
    <row r="1242" spans="57:57">
      <c r="BE1242" s="156"/>
    </row>
    <row r="1243" spans="57:57">
      <c r="BE1243" s="156"/>
    </row>
    <row r="1244" spans="57:57">
      <c r="BE1244" s="156"/>
    </row>
    <row r="1245" spans="57:57">
      <c r="BE1245" s="156"/>
    </row>
    <row r="1246" spans="57:57">
      <c r="BE1246" s="156"/>
    </row>
    <row r="1247" spans="57:57">
      <c r="BE1247" s="156"/>
    </row>
    <row r="1248" spans="57:57">
      <c r="BE1248" s="156"/>
    </row>
    <row r="1249" spans="57:57">
      <c r="BE1249" s="156"/>
    </row>
    <row r="1250" spans="57:57">
      <c r="BE1250" s="156"/>
    </row>
    <row r="1251" spans="57:57">
      <c r="BE1251" s="156"/>
    </row>
    <row r="1252" spans="57:57">
      <c r="BE1252" s="156"/>
    </row>
    <row r="1253" spans="57:57">
      <c r="BE1253" s="156"/>
    </row>
    <row r="1254" spans="57:57">
      <c r="BE1254" s="156"/>
    </row>
    <row r="1255" spans="57:57">
      <c r="BE1255" s="156"/>
    </row>
    <row r="1256" spans="57:57">
      <c r="BE1256" s="156"/>
    </row>
    <row r="1257" spans="57:57">
      <c r="BE1257" s="156"/>
    </row>
    <row r="1258" spans="57:57">
      <c r="BE1258" s="156"/>
    </row>
    <row r="1259" spans="57:57">
      <c r="BE1259" s="156"/>
    </row>
    <row r="1260" spans="57:57">
      <c r="BE1260" s="156"/>
    </row>
    <row r="1261" spans="57:57">
      <c r="BE1261" s="156"/>
    </row>
    <row r="1262" spans="57:57">
      <c r="BE1262" s="156"/>
    </row>
    <row r="1263" spans="57:57">
      <c r="BE1263" s="156"/>
    </row>
    <row r="1264" spans="57:57">
      <c r="BE1264" s="156"/>
    </row>
    <row r="1265" spans="57:57">
      <c r="BE1265" s="156"/>
    </row>
    <row r="1266" spans="57:57">
      <c r="BE1266" s="156"/>
    </row>
    <row r="1267" spans="57:57">
      <c r="BE1267" s="156"/>
    </row>
    <row r="1268" spans="57:57">
      <c r="BE1268" s="156"/>
    </row>
    <row r="1269" spans="57:57">
      <c r="BE1269" s="156"/>
    </row>
    <row r="1270" spans="57:57">
      <c r="BE1270" s="156"/>
    </row>
    <row r="1271" spans="57:57">
      <c r="BE1271" s="156"/>
    </row>
    <row r="1272" spans="57:57">
      <c r="BE1272" s="156"/>
    </row>
    <row r="1273" spans="57:57">
      <c r="BE1273" s="156"/>
    </row>
    <row r="1274" spans="57:57">
      <c r="BE1274" s="156"/>
    </row>
    <row r="1275" spans="57:57">
      <c r="BE1275" s="156"/>
    </row>
    <row r="1276" spans="57:57">
      <c r="BE1276" s="156"/>
    </row>
    <row r="1277" spans="57:57">
      <c r="BE1277" s="156"/>
    </row>
    <row r="1278" spans="57:57">
      <c r="BE1278" s="156"/>
    </row>
    <row r="1279" spans="57:57">
      <c r="BE1279" s="156"/>
    </row>
    <row r="1280" spans="57:57">
      <c r="BE1280" s="156"/>
    </row>
    <row r="1281" spans="57:57">
      <c r="BE1281" s="156"/>
    </row>
    <row r="1282" spans="57:57">
      <c r="BE1282" s="156"/>
    </row>
    <row r="1283" spans="57:57">
      <c r="BE1283" s="156"/>
    </row>
    <row r="1284" spans="57:57">
      <c r="BE1284" s="156"/>
    </row>
    <row r="1285" spans="57:57">
      <c r="BE1285" s="156"/>
    </row>
    <row r="1286" spans="57:57">
      <c r="BE1286" s="156"/>
    </row>
    <row r="1287" spans="57:57">
      <c r="BE1287" s="156"/>
    </row>
    <row r="1288" spans="57:57">
      <c r="BE1288" s="156"/>
    </row>
    <row r="1289" spans="57:57">
      <c r="BE1289" s="156"/>
    </row>
    <row r="1290" spans="57:57">
      <c r="BE1290" s="156"/>
    </row>
    <row r="1291" spans="57:57">
      <c r="BE1291" s="156"/>
    </row>
    <row r="1292" spans="57:57">
      <c r="BE1292" s="156"/>
    </row>
    <row r="1293" spans="57:57">
      <c r="BE1293" s="156"/>
    </row>
    <row r="1294" spans="57:57">
      <c r="BE1294" s="156"/>
    </row>
    <row r="1295" spans="57:57">
      <c r="BE1295" s="156"/>
    </row>
    <row r="1296" spans="57:57">
      <c r="BE1296" s="156"/>
    </row>
    <row r="1297" spans="57:57">
      <c r="BE1297" s="156"/>
    </row>
    <row r="1298" spans="57:57">
      <c r="BE1298" s="156"/>
    </row>
    <row r="1299" spans="57:57">
      <c r="BE1299" s="156"/>
    </row>
    <row r="1300" spans="57:57">
      <c r="BE1300" s="156"/>
    </row>
    <row r="1301" spans="57:57">
      <c r="BE1301" s="156"/>
    </row>
    <row r="1302" spans="57:57">
      <c r="BE1302" s="156"/>
    </row>
    <row r="1303" spans="57:57">
      <c r="BE1303" s="156"/>
    </row>
    <row r="1304" spans="57:57">
      <c r="BE1304" s="156"/>
    </row>
    <row r="1305" spans="57:57">
      <c r="BE1305" s="156"/>
    </row>
    <row r="1306" spans="57:57">
      <c r="BE1306" s="156"/>
    </row>
    <row r="1307" spans="57:57">
      <c r="BE1307" s="156"/>
    </row>
    <row r="1308" spans="57:57">
      <c r="BE1308" s="156"/>
    </row>
    <row r="1309" spans="57:57">
      <c r="BE1309" s="156"/>
    </row>
    <row r="1310" spans="57:57">
      <c r="BE1310" s="156"/>
    </row>
    <row r="1311" spans="57:57">
      <c r="BE1311" s="156"/>
    </row>
    <row r="1312" spans="57:57">
      <c r="BE1312" s="156"/>
    </row>
    <row r="1313" spans="57:57">
      <c r="BE1313" s="156"/>
    </row>
    <row r="1314" spans="57:57">
      <c r="BE1314" s="156"/>
    </row>
    <row r="1315" spans="57:57">
      <c r="BE1315" s="156"/>
    </row>
    <row r="1316" spans="57:57">
      <c r="BE1316" s="156"/>
    </row>
    <row r="1317" spans="57:57">
      <c r="BE1317" s="156"/>
    </row>
    <row r="1318" spans="57:57">
      <c r="BE1318" s="156"/>
    </row>
    <row r="1319" spans="57:57">
      <c r="BE1319" s="156"/>
    </row>
    <row r="1320" spans="57:57">
      <c r="BE1320" s="156"/>
    </row>
    <row r="1321" spans="57:57">
      <c r="BE1321" s="156"/>
    </row>
    <row r="1322" spans="57:57">
      <c r="BE1322" s="156"/>
    </row>
    <row r="1323" spans="57:57">
      <c r="BE1323" s="156"/>
    </row>
    <row r="1324" spans="57:57">
      <c r="BE1324" s="156"/>
    </row>
    <row r="1325" spans="57:57">
      <c r="BE1325" s="156"/>
    </row>
    <row r="1326" spans="57:57">
      <c r="BE1326" s="156"/>
    </row>
    <row r="1327" spans="57:57">
      <c r="BE1327" s="156"/>
    </row>
    <row r="1328" spans="57:57">
      <c r="BE1328" s="156"/>
    </row>
    <row r="1329" spans="57:57">
      <c r="BE1329" s="156"/>
    </row>
    <row r="1330" spans="57:57">
      <c r="BE1330" s="156"/>
    </row>
    <row r="1331" spans="57:57">
      <c r="BE1331" s="156"/>
    </row>
    <row r="1332" spans="57:57">
      <c r="BE1332" s="156"/>
    </row>
    <row r="1333" spans="57:57">
      <c r="BE1333" s="156"/>
    </row>
    <row r="1334" spans="57:57">
      <c r="BE1334" s="156"/>
    </row>
    <row r="1335" spans="57:57">
      <c r="BE1335" s="156"/>
    </row>
    <row r="1336" spans="57:57">
      <c r="BE1336" s="156"/>
    </row>
    <row r="1337" spans="57:57">
      <c r="BE1337" s="156"/>
    </row>
    <row r="1338" spans="57:57">
      <c r="BE1338" s="156"/>
    </row>
    <row r="1339" spans="57:57">
      <c r="BE1339" s="156"/>
    </row>
    <row r="1340" spans="57:57">
      <c r="BE1340" s="156"/>
    </row>
    <row r="1341" spans="57:57">
      <c r="BE1341" s="156"/>
    </row>
    <row r="1342" spans="57:57">
      <c r="BE1342" s="156"/>
    </row>
    <row r="1343" spans="57:57">
      <c r="BE1343" s="156"/>
    </row>
    <row r="1344" spans="57:57">
      <c r="BE1344" s="156"/>
    </row>
    <row r="1345" spans="57:57">
      <c r="BE1345" s="156"/>
    </row>
    <row r="1346" spans="57:57">
      <c r="BE1346" s="156"/>
    </row>
    <row r="1347" spans="57:57">
      <c r="BE1347" s="156"/>
    </row>
    <row r="1348" spans="57:57">
      <c r="BE1348" s="156"/>
    </row>
    <row r="1349" spans="57:57">
      <c r="BE1349" s="156"/>
    </row>
    <row r="1350" spans="57:57">
      <c r="BE1350" s="156"/>
    </row>
    <row r="1351" spans="57:57">
      <c r="BE1351" s="156"/>
    </row>
    <row r="1352" spans="57:57">
      <c r="BE1352" s="156"/>
    </row>
    <row r="1353" spans="57:57">
      <c r="BE1353" s="156"/>
    </row>
    <row r="1354" spans="57:57">
      <c r="BE1354" s="156"/>
    </row>
    <row r="1355" spans="57:57">
      <c r="BE1355" s="156"/>
    </row>
  </sheetData>
  <sortState ref="A3:AJ2138">
    <sortCondition ref="F3:F2138"/>
  </sortState>
  <dataConsolidate/>
  <mergeCells count="19">
    <mergeCell ref="S26:T30"/>
    <mergeCell ref="U26:BH30"/>
    <mergeCell ref="S22:S23"/>
    <mergeCell ref="A12:V12"/>
    <mergeCell ref="A16:V16"/>
    <mergeCell ref="A20:V20"/>
    <mergeCell ref="A24:V24"/>
    <mergeCell ref="BB1:BE1"/>
    <mergeCell ref="T1:V1"/>
    <mergeCell ref="S10:S11"/>
    <mergeCell ref="S14:S15"/>
    <mergeCell ref="S18:S19"/>
    <mergeCell ref="AA1:AB1"/>
    <mergeCell ref="AU1:AY1"/>
    <mergeCell ref="AZ1:BA1"/>
    <mergeCell ref="AC1:AD1"/>
    <mergeCell ref="AK1:AP1"/>
    <mergeCell ref="AQ1:AR1"/>
    <mergeCell ref="AE1:AJ1"/>
  </mergeCells>
  <phoneticPr fontId="2" type="noConversion"/>
  <pageMargins left="0.25" right="0.25" top="0.45" bottom="0.4" header="0.3" footer="0.3"/>
  <pageSetup paperSize="8" scale="37" fitToHeight="26" orientation="landscape" r:id="rId1"/>
  <headerFooter>
    <oddHeader>&amp;C&amp;F&amp;R&amp;D</oddHead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 List</vt:lpstr>
      <vt:lpstr>'Order List'!Print_Area</vt:lpstr>
      <vt:lpstr>'Order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Ho</dc:creator>
  <cp:lastModifiedBy>Ricky Lai</cp:lastModifiedBy>
  <cp:lastPrinted>2017-06-26T08:06:16Z</cp:lastPrinted>
  <dcterms:created xsi:type="dcterms:W3CDTF">2014-06-27T08:32:29Z</dcterms:created>
  <dcterms:modified xsi:type="dcterms:W3CDTF">2026-01-29T07:56:01Z</dcterms:modified>
</cp:coreProperties>
</file>